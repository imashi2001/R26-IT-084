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160" windowHeight="1185"/>
  </bookViews>
  <sheets>
    <sheet name="Waste Data &amp; Service Charg" sheetId="1" r:id="rId1"/>
  </sheets>
  <definedNames>
    <definedName name="OLE_LINK1" localSheetId="0">'Waste Data &amp; Service Charg'!#REF!</definedName>
  </definedNames>
  <calcPr calcId="144525"/>
</workbook>
</file>

<file path=xl/calcChain.xml><?xml version="1.0" encoding="utf-8"?>
<calcChain xmlns="http://schemas.openxmlformats.org/spreadsheetml/2006/main">
  <c r="N28" i="1" l="1"/>
  <c r="M28" i="1" l="1"/>
  <c r="L28" i="1"/>
  <c r="K28" i="1"/>
  <c r="J28" i="1"/>
  <c r="I28" i="1"/>
  <c r="H28" i="1"/>
  <c r="G28" i="1"/>
  <c r="F28" i="1"/>
  <c r="E28" i="1"/>
  <c r="D28" i="1"/>
  <c r="C28" i="1"/>
  <c r="N14" i="1"/>
  <c r="M14" i="1"/>
  <c r="L14" i="1"/>
  <c r="K14" i="1"/>
  <c r="J14" i="1"/>
  <c r="I14" i="1"/>
  <c r="H14" i="1"/>
  <c r="G14" i="1"/>
  <c r="F14" i="1"/>
  <c r="E14" i="1"/>
  <c r="D14" i="1"/>
  <c r="C14" i="1"/>
</calcChain>
</file>

<file path=xl/sharedStrings.xml><?xml version="1.0" encoding="utf-8"?>
<sst xmlns="http://schemas.openxmlformats.org/spreadsheetml/2006/main" count="48" uniqueCount="37">
  <si>
    <t>Total</t>
  </si>
  <si>
    <t>Moratuwa M.C.</t>
  </si>
  <si>
    <t>Boralesgamuwa U.C.</t>
  </si>
  <si>
    <t>Kesbewa U.C.</t>
  </si>
  <si>
    <t>Maharagama U.C.</t>
  </si>
  <si>
    <t>Homagama P.S.</t>
  </si>
  <si>
    <t>Sri J,puraKotte M.C.</t>
  </si>
  <si>
    <t>Total/Mt</t>
  </si>
  <si>
    <t>SOW</t>
  </si>
  <si>
    <t>Bulky Waste</t>
  </si>
  <si>
    <t>Industrial Waste</t>
  </si>
  <si>
    <t>Slaughter House Waste</t>
  </si>
  <si>
    <t>Sanitary Waste</t>
  </si>
  <si>
    <t>Institute</t>
  </si>
  <si>
    <t xml:space="preserve">Dehiwala - Mt Lavinia </t>
  </si>
  <si>
    <t>Category</t>
  </si>
  <si>
    <t>Burnable</t>
  </si>
  <si>
    <t xml:space="preserve">Total Waste Intake  </t>
  </si>
  <si>
    <t xml:space="preserve">C &amp; D </t>
  </si>
  <si>
    <t>Unburnable</t>
  </si>
  <si>
    <t>Category Vise</t>
  </si>
  <si>
    <t>Jan_2023</t>
  </si>
  <si>
    <t>Feb_2023</t>
  </si>
  <si>
    <t>Mar_2023</t>
  </si>
  <si>
    <t>Apr_2023</t>
  </si>
  <si>
    <t>May_2023</t>
  </si>
  <si>
    <t>June_2023</t>
  </si>
  <si>
    <t>July_2023</t>
  </si>
  <si>
    <t>August_2023</t>
  </si>
  <si>
    <t>Sep_2023</t>
  </si>
  <si>
    <t>Aug_2023</t>
  </si>
  <si>
    <t>Oct_2023</t>
  </si>
  <si>
    <t xml:space="preserve">Kothalawala Defence University </t>
  </si>
  <si>
    <t xml:space="preserve">Other </t>
  </si>
  <si>
    <t>Nov_2023</t>
  </si>
  <si>
    <t>Dec_2023</t>
  </si>
  <si>
    <t>Kothalawala Defence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</si>
</sst>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1F497D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7" fillId="0" borderId="0" xfId="0" applyFont="1"/>
    <xf numFmtId="164" fontId="7" fillId="0" borderId="0" xfId="0" applyNumberFormat="1" applyFont="1" applyAlignment="1">
      <alignment horizontal="center" vertical="center"/>
    </xf>
    <xf numFmtId="164" fontId="7" fillId="0" borderId="0" xfId="1" applyFont="1" applyAlignment="1">
      <alignment horizontal="center" vertical="center"/>
    </xf>
    <xf numFmtId="164" fontId="7" fillId="0" borderId="0" xfId="1" applyFont="1"/>
    <xf numFmtId="164" fontId="0" fillId="0" borderId="1" xfId="1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164" fontId="0" fillId="0" borderId="1" xfId="1" applyFont="1" applyBorder="1"/>
    <xf numFmtId="4" fontId="6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164" fontId="0" fillId="0" borderId="2" xfId="1" applyFont="1" applyBorder="1"/>
    <xf numFmtId="0" fontId="0" fillId="0" borderId="2" xfId="0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1" xfId="0" applyFont="1" applyBorder="1"/>
    <xf numFmtId="0" fontId="6" fillId="0" borderId="1" xfId="0" applyFont="1" applyBorder="1" applyAlignment="1">
      <alignment wrapText="1"/>
    </xf>
    <xf numFmtId="0" fontId="0" fillId="0" borderId="0" xfId="0" applyFont="1"/>
    <xf numFmtId="164" fontId="0" fillId="0" borderId="0" xfId="0" applyNumberFormat="1" applyFont="1"/>
    <xf numFmtId="0" fontId="0" fillId="0" borderId="0" xfId="0" applyFont="1" applyFill="1"/>
    <xf numFmtId="0" fontId="9" fillId="0" borderId="0" xfId="0" applyFont="1" applyBorder="1" applyAlignment="1">
      <alignment horizontal="center" wrapText="1"/>
    </xf>
    <xf numFmtId="0" fontId="10" fillId="0" borderId="0" xfId="0" applyFont="1" applyBorder="1"/>
    <xf numFmtId="165" fontId="10" fillId="0" borderId="0" xfId="1" applyNumberFormat="1" applyFont="1" applyBorder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4" fontId="4" fillId="0" borderId="2" xfId="0" applyNumberFormat="1" applyFont="1" applyBorder="1" applyAlignment="1">
      <alignment horizontal="right" vertical="center" wrapText="1"/>
    </xf>
    <xf numFmtId="4" fontId="0" fillId="0" borderId="2" xfId="0" applyNumberFormat="1" applyBorder="1" applyAlignment="1">
      <alignment horizontal="right" vertical="center" wrapText="1"/>
    </xf>
    <xf numFmtId="0" fontId="0" fillId="0" borderId="2" xfId="0" applyFont="1" applyBorder="1"/>
    <xf numFmtId="4" fontId="0" fillId="0" borderId="1" xfId="0" applyNumberFormat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164" fontId="0" fillId="0" borderId="0" xfId="0" applyNumberFormat="1" applyFont="1" applyFill="1"/>
    <xf numFmtId="164" fontId="6" fillId="0" borderId="1" xfId="1" applyFont="1" applyBorder="1"/>
    <xf numFmtId="164" fontId="6" fillId="0" borderId="1" xfId="1" applyFont="1" applyFill="1" applyBorder="1"/>
    <xf numFmtId="164" fontId="6" fillId="0" borderId="4" xfId="1" applyFont="1" applyBorder="1"/>
    <xf numFmtId="164" fontId="6" fillId="0" borderId="5" xfId="1" applyFont="1" applyBorder="1"/>
    <xf numFmtId="164" fontId="6" fillId="0" borderId="2" xfId="1" applyFont="1" applyBorder="1"/>
    <xf numFmtId="0" fontId="8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5" xfId="0" applyFont="1" applyFill="1" applyBorder="1"/>
    <xf numFmtId="164" fontId="4" fillId="0" borderId="1" xfId="1" applyFont="1" applyBorder="1" applyAlignment="1">
      <alignment horizontal="right" vertical="center" wrapText="1"/>
    </xf>
    <xf numFmtId="4" fontId="4" fillId="0" borderId="2" xfId="0" applyNumberFormat="1" applyFont="1" applyBorder="1"/>
    <xf numFmtId="0" fontId="4" fillId="0" borderId="2" xfId="0" applyFont="1" applyBorder="1"/>
    <xf numFmtId="164" fontId="0" fillId="0" borderId="2" xfId="1" applyFont="1" applyBorder="1" applyAlignment="1">
      <alignment vertical="center" wrapText="1"/>
    </xf>
    <xf numFmtId="0" fontId="0" fillId="0" borderId="1" xfId="0" applyFont="1" applyBorder="1" applyAlignment="1">
      <alignment horizontal="left" vertical="center"/>
    </xf>
    <xf numFmtId="164" fontId="4" fillId="0" borderId="1" xfId="1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4" fontId="0" fillId="0" borderId="0" xfId="1" applyFont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/>
            </a:pPr>
            <a:r>
              <a:rPr lang="en-US" sz="1800" b="1" i="0" baseline="0"/>
              <a:t>Source Analysis of Total Waste Intake </a:t>
            </a:r>
            <a:endParaRPr lang="en-GB" sz="1800" b="1" i="0" baseline="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'Waste Data &amp; Service Charg'!$B$4</c:f>
              <c:strCache>
                <c:ptCount val="1"/>
                <c:pt idx="0">
                  <c:v>Moratuwa M.C.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June_2023</c:v>
                </c:pt>
                <c:pt idx="6">
                  <c:v>July_2023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</c:strCache>
            </c:strRef>
          </c:cat>
          <c:val>
            <c:numRef>
              <c:f>'Waste Data &amp; Service Charg'!$C$4:$N$4</c:f>
              <c:numCache>
                <c:formatCode>General</c:formatCode>
                <c:ptCount val="12"/>
                <c:pt idx="0" formatCode="_(* #,##0.00_);_(* \(#,##0.00\);_(* &quot;-&quot;??_);_(@_)">
                  <c:v>1414.98</c:v>
                </c:pt>
                <c:pt idx="1">
                  <c:v>1052.19</c:v>
                </c:pt>
                <c:pt idx="2" formatCode="#,##0.00">
                  <c:v>1264.2</c:v>
                </c:pt>
                <c:pt idx="3">
                  <c:v>1175.24</c:v>
                </c:pt>
                <c:pt idx="4" formatCode="#,##0.00">
                  <c:v>1600.25</c:v>
                </c:pt>
                <c:pt idx="5">
                  <c:v>1534.91</c:v>
                </c:pt>
                <c:pt idx="6" formatCode="#,##0.00">
                  <c:v>1461.82</c:v>
                </c:pt>
                <c:pt idx="7" formatCode="_(* #,##0.00_);_(* \(#,##0.00\);_(* &quot;-&quot;??_);_(@_)">
                  <c:v>1412.2</c:v>
                </c:pt>
                <c:pt idx="8" formatCode="#,##0.00">
                  <c:v>1474.9</c:v>
                </c:pt>
                <c:pt idx="9" formatCode="#,##0.00">
                  <c:v>1615.1000000000001</c:v>
                </c:pt>
                <c:pt idx="10" formatCode="#,##0.00">
                  <c:v>1562</c:v>
                </c:pt>
                <c:pt idx="11" formatCode="#,##0.00">
                  <c:v>1532.8999999999999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'Waste Data &amp; Service Charg'!$B$5</c:f>
              <c:strCache>
                <c:ptCount val="1"/>
                <c:pt idx="0">
                  <c:v>Boralesgamuwa U.C.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June_2023</c:v>
                </c:pt>
                <c:pt idx="6">
                  <c:v>July_2023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</c:strCache>
            </c:strRef>
          </c:cat>
          <c:val>
            <c:numRef>
              <c:f>'Waste Data &amp; Service Charg'!$C$5:$N$5</c:f>
              <c:numCache>
                <c:formatCode>General</c:formatCode>
                <c:ptCount val="12"/>
                <c:pt idx="0" formatCode="_(* #,##0.00_);_(* \(#,##0.00\);_(* &quot;-&quot;??_);_(@_)">
                  <c:v>699.79</c:v>
                </c:pt>
                <c:pt idx="1">
                  <c:v>629.4</c:v>
                </c:pt>
                <c:pt idx="2">
                  <c:v>777.4</c:v>
                </c:pt>
                <c:pt idx="3">
                  <c:v>708.33</c:v>
                </c:pt>
                <c:pt idx="4">
                  <c:v>907.64</c:v>
                </c:pt>
                <c:pt idx="5">
                  <c:v>822.12</c:v>
                </c:pt>
                <c:pt idx="6">
                  <c:v>791.55</c:v>
                </c:pt>
                <c:pt idx="7" formatCode="_(* #,##0.00_);_(* \(#,##0.00\);_(* &quot;-&quot;??_);_(@_)">
                  <c:v>774.2</c:v>
                </c:pt>
                <c:pt idx="8">
                  <c:v>797.8</c:v>
                </c:pt>
                <c:pt idx="9">
                  <c:v>766.6</c:v>
                </c:pt>
                <c:pt idx="10">
                  <c:v>827.7</c:v>
                </c:pt>
                <c:pt idx="11">
                  <c:v>830.09999999999991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'Waste Data &amp; Service Charg'!$B$6</c:f>
              <c:strCache>
                <c:ptCount val="1"/>
                <c:pt idx="0">
                  <c:v>Kesbewa U.C.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June_2023</c:v>
                </c:pt>
                <c:pt idx="6">
                  <c:v>July_2023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</c:strCache>
            </c:strRef>
          </c:cat>
          <c:val>
            <c:numRef>
              <c:f>'Waste Data &amp; Service Charg'!$C$6:$N$6</c:f>
              <c:numCache>
                <c:formatCode>General</c:formatCode>
                <c:ptCount val="12"/>
                <c:pt idx="0" formatCode="_(* #,##0.00_);_(* \(#,##0.00\);_(* &quot;-&quot;??_);_(@_)">
                  <c:v>1522.09</c:v>
                </c:pt>
                <c:pt idx="1">
                  <c:v>1418.32</c:v>
                </c:pt>
                <c:pt idx="2">
                  <c:v>1641</c:v>
                </c:pt>
                <c:pt idx="3">
                  <c:v>1610.06</c:v>
                </c:pt>
                <c:pt idx="4" formatCode="#,##0.00">
                  <c:v>2008.31</c:v>
                </c:pt>
                <c:pt idx="5">
                  <c:v>1877.89</c:v>
                </c:pt>
                <c:pt idx="6" formatCode="#,##0.00">
                  <c:v>1724.31</c:v>
                </c:pt>
                <c:pt idx="7" formatCode="_(* #,##0.00_);_(* \(#,##0.00\);_(* &quot;-&quot;??_);_(@_)">
                  <c:v>1548.5</c:v>
                </c:pt>
                <c:pt idx="8" formatCode="#,##0.00">
                  <c:v>1771.6</c:v>
                </c:pt>
                <c:pt idx="9" formatCode="#,##0.00">
                  <c:v>1827.3000000000002</c:v>
                </c:pt>
                <c:pt idx="10" formatCode="#,##0.00">
                  <c:v>1780.2</c:v>
                </c:pt>
                <c:pt idx="11" formatCode="#,##0.00">
                  <c:v>1865.5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'Waste Data &amp; Service Charg'!$B$7</c:f>
              <c:strCache>
                <c:ptCount val="1"/>
                <c:pt idx="0">
                  <c:v>Dehiwala - Mt Lavinia 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June_2023</c:v>
                </c:pt>
                <c:pt idx="6">
                  <c:v>July_2023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</c:strCache>
            </c:strRef>
          </c:cat>
          <c:val>
            <c:numRef>
              <c:f>'Waste Data &amp; Service Charg'!$C$7:$N$7</c:f>
              <c:numCache>
                <c:formatCode>General</c:formatCode>
                <c:ptCount val="12"/>
                <c:pt idx="0" formatCode="_(* #,##0.00_);_(* \(#,##0.00\);_(* &quot;-&quot;??_);_(@_)">
                  <c:v>2773.83</c:v>
                </c:pt>
                <c:pt idx="1">
                  <c:v>2321.63</c:v>
                </c:pt>
                <c:pt idx="2" formatCode="#,##0.00">
                  <c:v>2754.5</c:v>
                </c:pt>
                <c:pt idx="3">
                  <c:v>2577.44</c:v>
                </c:pt>
                <c:pt idx="4" formatCode="#,##0.00">
                  <c:v>3053</c:v>
                </c:pt>
                <c:pt idx="5">
                  <c:v>2983.78</c:v>
                </c:pt>
                <c:pt idx="6" formatCode="#,##0.00">
                  <c:v>3012.3</c:v>
                </c:pt>
                <c:pt idx="7" formatCode="_(* #,##0.00_);_(* \(#,##0.00\);_(* &quot;-&quot;??_);_(@_)">
                  <c:v>2763.8</c:v>
                </c:pt>
                <c:pt idx="8" formatCode="#,##0.00">
                  <c:v>3094.9</c:v>
                </c:pt>
                <c:pt idx="9" formatCode="#,##0.00">
                  <c:v>3098.5</c:v>
                </c:pt>
                <c:pt idx="10" formatCode="#,##0.00">
                  <c:v>3248.7000000000003</c:v>
                </c:pt>
                <c:pt idx="11" formatCode="#,##0.00">
                  <c:v>3270.9999999999995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'Waste Data &amp; Service Charg'!$B$8</c:f>
              <c:strCache>
                <c:ptCount val="1"/>
                <c:pt idx="0">
                  <c:v>Sri J,puraKotte M.C.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June_2023</c:v>
                </c:pt>
                <c:pt idx="6">
                  <c:v>July_2023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</c:strCache>
            </c:strRef>
          </c:cat>
          <c:val>
            <c:numRef>
              <c:f>'Waste Data &amp; Service Charg'!$C$8:$N$8</c:f>
              <c:numCache>
                <c:formatCode>General</c:formatCode>
                <c:ptCount val="12"/>
                <c:pt idx="0" formatCode="_(* #,##0.00_);_(* \(#,##0.00\);_(* &quot;-&quot;??_);_(@_)">
                  <c:v>582.62</c:v>
                </c:pt>
                <c:pt idx="1">
                  <c:v>483.38</c:v>
                </c:pt>
                <c:pt idx="2">
                  <c:v>650.5</c:v>
                </c:pt>
                <c:pt idx="3">
                  <c:v>623.54999999999995</c:v>
                </c:pt>
                <c:pt idx="4">
                  <c:v>706.99</c:v>
                </c:pt>
                <c:pt idx="5">
                  <c:v>663.75</c:v>
                </c:pt>
                <c:pt idx="6">
                  <c:v>686.58</c:v>
                </c:pt>
                <c:pt idx="7" formatCode="_(* #,##0.00_);_(* \(#,##0.00\);_(* &quot;-&quot;??_);_(@_)">
                  <c:v>652.29999999999995</c:v>
                </c:pt>
                <c:pt idx="8">
                  <c:v>536.1</c:v>
                </c:pt>
                <c:pt idx="9">
                  <c:v>425.5</c:v>
                </c:pt>
                <c:pt idx="10">
                  <c:v>485.9</c:v>
                </c:pt>
                <c:pt idx="11">
                  <c:v>410.59999999999997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'Waste Data &amp; Service Charg'!$B$9</c:f>
              <c:strCache>
                <c:ptCount val="1"/>
                <c:pt idx="0">
                  <c:v>Maharagama U.C.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June_2023</c:v>
                </c:pt>
                <c:pt idx="6">
                  <c:v>July_2023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</c:strCache>
            </c:strRef>
          </c:cat>
          <c:val>
            <c:numRef>
              <c:f>'Waste Data &amp; Service Charg'!$C$9:$N$9</c:f>
              <c:numCache>
                <c:formatCode>General</c:formatCode>
                <c:ptCount val="12"/>
                <c:pt idx="0" formatCode="_(* #,##0.00_);_(* \(#,##0.00\);_(* &quot;-&quot;??_);_(@_)">
                  <c:v>1334.96</c:v>
                </c:pt>
                <c:pt idx="1">
                  <c:v>1752.27</c:v>
                </c:pt>
                <c:pt idx="2">
                  <c:v>2295</c:v>
                </c:pt>
                <c:pt idx="3">
                  <c:v>2222.86</c:v>
                </c:pt>
                <c:pt idx="4" formatCode="#,##0.00">
                  <c:v>2116.79</c:v>
                </c:pt>
                <c:pt idx="5">
                  <c:v>1703.5</c:v>
                </c:pt>
                <c:pt idx="6" formatCode="#,##0.00">
                  <c:v>2289.37</c:v>
                </c:pt>
                <c:pt idx="7" formatCode="_(* #,##0.00_);_(* \(#,##0.00\);_(* &quot;-&quot;??_);_(@_)">
                  <c:v>1928.8</c:v>
                </c:pt>
                <c:pt idx="8" formatCode="#,##0.00">
                  <c:v>1297.3</c:v>
                </c:pt>
                <c:pt idx="9" formatCode="#,##0.00">
                  <c:v>1838.0000000000002</c:v>
                </c:pt>
                <c:pt idx="10" formatCode="#,##0.00">
                  <c:v>1889.6999999999998</c:v>
                </c:pt>
                <c:pt idx="11" formatCode="#,##0.00">
                  <c:v>1817.3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'Waste Data &amp; Service Charg'!$B$10</c:f>
              <c:strCache>
                <c:ptCount val="1"/>
                <c:pt idx="0">
                  <c:v>Homagama P.S.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June_2023</c:v>
                </c:pt>
                <c:pt idx="6">
                  <c:v>July_2023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</c:strCache>
            </c:strRef>
          </c:cat>
          <c:val>
            <c:numRef>
              <c:f>'Waste Data &amp; Service Charg'!$C$10:$N$10</c:f>
              <c:numCache>
                <c:formatCode>General</c:formatCode>
                <c:ptCount val="12"/>
                <c:pt idx="0" formatCode="_(* #,##0.00_);_(* \(#,##0.00\);_(* &quot;-&quot;??_);_(@_)">
                  <c:v>635.48</c:v>
                </c:pt>
                <c:pt idx="1">
                  <c:v>553.61</c:v>
                </c:pt>
                <c:pt idx="2">
                  <c:v>653.6</c:v>
                </c:pt>
                <c:pt idx="3">
                  <c:v>672.59</c:v>
                </c:pt>
                <c:pt idx="4">
                  <c:v>815.42</c:v>
                </c:pt>
                <c:pt idx="5">
                  <c:v>818.81</c:v>
                </c:pt>
                <c:pt idx="6">
                  <c:v>669.09</c:v>
                </c:pt>
                <c:pt idx="7" formatCode="_(* #,##0.00_);_(* \(#,##0.00\);_(* &quot;-&quot;??_);_(@_)">
                  <c:v>670.1</c:v>
                </c:pt>
                <c:pt idx="8">
                  <c:v>680.4</c:v>
                </c:pt>
                <c:pt idx="9">
                  <c:v>743.1</c:v>
                </c:pt>
                <c:pt idx="10">
                  <c:v>722.1</c:v>
                </c:pt>
                <c:pt idx="11">
                  <c:v>774.4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09536"/>
        <c:axId val="146438912"/>
      </c:lineChart>
      <c:catAx>
        <c:axId val="134209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46438912"/>
        <c:crosses val="autoZero"/>
        <c:auto val="1"/>
        <c:lblAlgn val="ctr"/>
        <c:lblOffset val="100"/>
        <c:noMultiLvlLbl val="0"/>
      </c:catAx>
      <c:valAx>
        <c:axId val="14643891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3420953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1800" b="1" i="0" baseline="0"/>
              <a:t>Source Analysis of Organic Waste Intake </a:t>
            </a:r>
            <a:endParaRPr lang="en-GB" sz="1800" b="1" i="0" baseline="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'Waste Data &amp; Service Charg'!#REF!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'Waste Data &amp; Service Charg'!#REF!</c:f>
            </c:multiLvlStrRef>
          </c:cat>
          <c:val>
            <c:numRef>
              <c:f>'Waste Data &amp; Service Charg'!#REF!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'Waste Data &amp; Service Charg'!#REF!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'Waste Data &amp; Service Charg'!#REF!</c:f>
            </c:multiLvlStrRef>
          </c:cat>
          <c:val>
            <c:numRef>
              <c:f>'Waste Data &amp; Service Charg'!#REF!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'Waste Data &amp; Service Charg'!#REF!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'Waste Data &amp; Service Charg'!#REF!</c:f>
            </c:multiLvlStrRef>
          </c:cat>
          <c:val>
            <c:numRef>
              <c:f>'Waste Data &amp; Service Charg'!#REF!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'Waste Data &amp; Service Charg'!#REF!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'Waste Data &amp; Service Charg'!#REF!</c:f>
            </c:multiLvlStrRef>
          </c:cat>
          <c:val>
            <c:numRef>
              <c:f>'Waste Data &amp; Service Charg'!#REF!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'Waste Data &amp; Service Charg'!#REF!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'Waste Data &amp; Service Charg'!#REF!</c:f>
            </c:multiLvlStrRef>
          </c:cat>
          <c:val>
            <c:numRef>
              <c:f>'Waste Data &amp; Service Charg'!#REF!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'Waste Data &amp; Service Charg'!#REF!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'Waste Data &amp; Service Charg'!#REF!</c:f>
            </c:multiLvlStrRef>
          </c:cat>
          <c:val>
            <c:numRef>
              <c:f>'Waste Data &amp; Service Charg'!#REF!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'Waste Data &amp; Service Charg'!#REF!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'Waste Data &amp; Service Charg'!#REF!</c:f>
            </c:multiLvlStrRef>
          </c:cat>
          <c:val>
            <c:numRef>
              <c:f>'Waste Data &amp; Service Charg'!#REF!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1584"/>
        <c:axId val="133923968"/>
      </c:lineChart>
      <c:catAx>
        <c:axId val="134211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33923968"/>
        <c:crosses val="autoZero"/>
        <c:auto val="1"/>
        <c:lblAlgn val="ctr"/>
        <c:lblOffset val="100"/>
        <c:noMultiLvlLbl val="0"/>
      </c:catAx>
      <c:valAx>
        <c:axId val="133923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34211584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Waste Categories Vs Monthly waste intake </a:t>
            </a:r>
            <a:endParaRPr lang="en-GB" sz="1800" b="1" i="0" baseline="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'Waste Data &amp; Service Charg'!$B$20</c:f>
              <c:strCache>
                <c:ptCount val="1"/>
                <c:pt idx="0">
                  <c:v>Unburnable</c:v>
                </c:pt>
              </c:strCache>
            </c:strRef>
          </c:tx>
          <c:cat>
            <c:strRef>
              <c:f>'Waste Data &amp; Service Charg'!$C$19:$N$19</c:f>
              <c:strCache>
                <c:ptCount val="12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June_2023</c:v>
                </c:pt>
                <c:pt idx="6">
                  <c:v>July_2023</c:v>
                </c:pt>
                <c:pt idx="7">
                  <c:v>August_2023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</c:strCache>
            </c:strRef>
          </c:cat>
          <c:val>
            <c:numRef>
              <c:f>'Waste Data &amp; Service Charg'!$C$20:$N$20</c:f>
              <c:numCache>
                <c:formatCode>#,##0.00</c:formatCode>
                <c:ptCount val="12"/>
                <c:pt idx="0" formatCode="General">
                  <c:v>1435.69</c:v>
                </c:pt>
                <c:pt idx="1">
                  <c:v>1231.1600000000001</c:v>
                </c:pt>
                <c:pt idx="2" formatCode="General">
                  <c:v>1115.9000000000001</c:v>
                </c:pt>
                <c:pt idx="3">
                  <c:v>3245.81</c:v>
                </c:pt>
                <c:pt idx="4" formatCode="General">
                  <c:v>3367.71</c:v>
                </c:pt>
                <c:pt idx="5" formatCode="General">
                  <c:v>2690.16</c:v>
                </c:pt>
                <c:pt idx="6">
                  <c:v>1384.28</c:v>
                </c:pt>
                <c:pt idx="7" formatCode="General">
                  <c:v>507</c:v>
                </c:pt>
                <c:pt idx="8" formatCode="General">
                  <c:v>346.7</c:v>
                </c:pt>
                <c:pt idx="9" formatCode="General">
                  <c:v>142.30000000000001</c:v>
                </c:pt>
                <c:pt idx="10" formatCode="_(* #,##0.00_);_(* \(#,##0.00\);_(* &quot;-&quot;??_);_(@_)">
                  <c:v>172.5</c:v>
                </c:pt>
                <c:pt idx="11" formatCode="_(* #,##0.00_);_(* \(#,##0.00\);_(* &quot;-&quot;??_);_(@_)">
                  <c:v>114.1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'Waste Data &amp; Service Charg'!$B$21</c:f>
              <c:strCache>
                <c:ptCount val="1"/>
                <c:pt idx="0">
                  <c:v>SOW</c:v>
                </c:pt>
              </c:strCache>
            </c:strRef>
          </c:tx>
          <c:cat>
            <c:strRef>
              <c:f>'Waste Data &amp; Service Charg'!$C$19:$N$19</c:f>
              <c:strCache>
                <c:ptCount val="12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June_2023</c:v>
                </c:pt>
                <c:pt idx="6">
                  <c:v>July_2023</c:v>
                </c:pt>
                <c:pt idx="7">
                  <c:v>August_2023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</c:strCache>
            </c:strRef>
          </c:cat>
          <c:val>
            <c:numRef>
              <c:f>'Waste Data &amp; Service Charg'!$C$21:$N$21</c:f>
              <c:numCache>
                <c:formatCode>#,##0.00</c:formatCode>
                <c:ptCount val="12"/>
                <c:pt idx="0" formatCode="General">
                  <c:v>3819.67</c:v>
                </c:pt>
                <c:pt idx="1">
                  <c:v>3780.65</c:v>
                </c:pt>
                <c:pt idx="2" formatCode="General">
                  <c:v>4742.1000000000004</c:v>
                </c:pt>
                <c:pt idx="3">
                  <c:v>4338.96</c:v>
                </c:pt>
                <c:pt idx="4" formatCode="General">
                  <c:v>5626.75</c:v>
                </c:pt>
                <c:pt idx="5">
                  <c:v>5663</c:v>
                </c:pt>
                <c:pt idx="6">
                  <c:v>5347.24</c:v>
                </c:pt>
                <c:pt idx="7" formatCode="_(* #,##0.00_);_(* \(#,##0.00\);_(* &quot;-&quot;??_);_(@_)">
                  <c:v>5531.1</c:v>
                </c:pt>
                <c:pt idx="8">
                  <c:v>5402.4</c:v>
                </c:pt>
                <c:pt idx="9">
                  <c:v>6515.1</c:v>
                </c:pt>
                <c:pt idx="10" formatCode="_(* #,##0.00_);_(* \(#,##0.00\);_(* &quot;-&quot;??_);_(@_)">
                  <c:v>6114.2</c:v>
                </c:pt>
                <c:pt idx="11" formatCode="_(* #,##0.00_);_(* \(#,##0.00\);_(* &quot;-&quot;??_);_(@_)">
                  <c:v>5980.4000000000005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'Waste Data &amp; Service Charg'!$B$22</c:f>
              <c:strCache>
                <c:ptCount val="1"/>
                <c:pt idx="0">
                  <c:v>Burnable</c:v>
                </c:pt>
              </c:strCache>
            </c:strRef>
          </c:tx>
          <c:cat>
            <c:strRef>
              <c:f>'Waste Data &amp; Service Charg'!$C$19:$N$19</c:f>
              <c:strCache>
                <c:ptCount val="12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June_2023</c:v>
                </c:pt>
                <c:pt idx="6">
                  <c:v>July_2023</c:v>
                </c:pt>
                <c:pt idx="7">
                  <c:v>August_2023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</c:strCache>
            </c:strRef>
          </c:cat>
          <c:val>
            <c:numRef>
              <c:f>'Waste Data &amp; Service Charg'!$C$22:$N$22</c:f>
              <c:numCache>
                <c:formatCode>#,##0.00</c:formatCode>
                <c:ptCount val="12"/>
                <c:pt idx="0" formatCode="General">
                  <c:v>3058.74</c:v>
                </c:pt>
                <c:pt idx="1">
                  <c:v>2930.22</c:v>
                </c:pt>
                <c:pt idx="2" formatCode="General">
                  <c:v>3866.5</c:v>
                </c:pt>
                <c:pt idx="3">
                  <c:v>1691.72</c:v>
                </c:pt>
                <c:pt idx="4" formatCode="General">
                  <c:v>1772.86</c:v>
                </c:pt>
                <c:pt idx="5" formatCode="_(* #,##0.00_);_(* \(#,##0.00\);_(* &quot;-&quot;??_);_(@_)">
                  <c:v>1611.16</c:v>
                </c:pt>
                <c:pt idx="6">
                  <c:v>3419.36</c:v>
                </c:pt>
                <c:pt idx="7" formatCode="_(* #,##0.00_);_(* \(#,##0.00\);_(* &quot;-&quot;??_);_(@_)">
                  <c:v>3165.1</c:v>
                </c:pt>
                <c:pt idx="8">
                  <c:v>3384.7</c:v>
                </c:pt>
                <c:pt idx="9">
                  <c:v>3337.1</c:v>
                </c:pt>
                <c:pt idx="10" formatCode="_(* #,##0.00_);_(* \(#,##0.00\);_(* &quot;-&quot;??_);_(@_)">
                  <c:v>3831.2</c:v>
                </c:pt>
                <c:pt idx="11" formatCode="_(* #,##0.00_);_(* \(#,##0.00\);_(* &quot;-&quot;??_);_(@_)">
                  <c:v>4020.6000000000004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'Waste Data &amp; Service Charg'!$B$23</c:f>
              <c:strCache>
                <c:ptCount val="1"/>
                <c:pt idx="0">
                  <c:v>Bulky Waste</c:v>
                </c:pt>
              </c:strCache>
            </c:strRef>
          </c:tx>
          <c:cat>
            <c:strRef>
              <c:f>'Waste Data &amp; Service Charg'!$C$19:$N$19</c:f>
              <c:strCache>
                <c:ptCount val="12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June_2023</c:v>
                </c:pt>
                <c:pt idx="6">
                  <c:v>July_2023</c:v>
                </c:pt>
                <c:pt idx="7">
                  <c:v>August_2023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</c:strCache>
            </c:strRef>
          </c:cat>
          <c:val>
            <c:numRef>
              <c:f>'Waste Data &amp; Service Charg'!$C$23:$N$23</c:f>
              <c:numCache>
                <c:formatCode>General</c:formatCode>
                <c:ptCount val="12"/>
                <c:pt idx="0">
                  <c:v>536.66999999999996</c:v>
                </c:pt>
                <c:pt idx="1">
                  <c:v>167.64</c:v>
                </c:pt>
                <c:pt idx="2">
                  <c:v>209.7</c:v>
                </c:pt>
                <c:pt idx="3">
                  <c:v>204.09</c:v>
                </c:pt>
                <c:pt idx="4">
                  <c:v>335.48</c:v>
                </c:pt>
                <c:pt idx="5">
                  <c:v>335.92</c:v>
                </c:pt>
                <c:pt idx="6">
                  <c:v>392.88</c:v>
                </c:pt>
                <c:pt idx="7" formatCode="_(* #,##0.00_);_(* \(#,##0.00\);_(* &quot;-&quot;??_);_(@_)">
                  <c:v>445.7</c:v>
                </c:pt>
                <c:pt idx="8">
                  <c:v>418</c:v>
                </c:pt>
                <c:pt idx="9">
                  <c:v>270</c:v>
                </c:pt>
                <c:pt idx="10" formatCode="_(* #,##0.00_);_(* \(#,##0.00\);_(* &quot;-&quot;??_);_(@_)">
                  <c:v>340.8</c:v>
                </c:pt>
                <c:pt idx="11" formatCode="_(* #,##0.00_);_(* \(#,##0.00\);_(* &quot;-&quot;??_);_(@_)">
                  <c:v>308.59999999999997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'Waste Data &amp; Service Charg'!$B$24</c:f>
              <c:strCache>
                <c:ptCount val="1"/>
                <c:pt idx="0">
                  <c:v>Industrial Waste</c:v>
                </c:pt>
              </c:strCache>
            </c:strRef>
          </c:tx>
          <c:cat>
            <c:strRef>
              <c:f>'Waste Data &amp; Service Charg'!$C$19:$N$19</c:f>
              <c:strCache>
                <c:ptCount val="12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June_2023</c:v>
                </c:pt>
                <c:pt idx="6">
                  <c:v>July_2023</c:v>
                </c:pt>
                <c:pt idx="7">
                  <c:v>August_2023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</c:strCache>
            </c:strRef>
          </c:cat>
          <c:val>
            <c:numRef>
              <c:f>'Waste Data &amp; Service Charg'!$C$24:$N$24</c:f>
              <c:numCache>
                <c:formatCode>General</c:formatCode>
                <c:ptCount val="12"/>
                <c:pt idx="0">
                  <c:v>22.78</c:v>
                </c:pt>
                <c:pt idx="1">
                  <c:v>1.02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'Waste Data &amp; Service Charg'!$B$25</c:f>
              <c:strCache>
                <c:ptCount val="1"/>
                <c:pt idx="0">
                  <c:v>Slaughter House Waste</c:v>
                </c:pt>
              </c:strCache>
            </c:strRef>
          </c:tx>
          <c:cat>
            <c:strRef>
              <c:f>'Waste Data &amp; Service Charg'!$C$19:$N$19</c:f>
              <c:strCache>
                <c:ptCount val="12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June_2023</c:v>
                </c:pt>
                <c:pt idx="6">
                  <c:v>July_2023</c:v>
                </c:pt>
                <c:pt idx="7">
                  <c:v>August_2023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</c:strCache>
            </c:strRef>
          </c:cat>
          <c:val>
            <c:numRef>
              <c:f>'Waste Data &amp; Service Charg'!$C$25:$N$25</c:f>
              <c:numCache>
                <c:formatCode>General</c:formatCode>
                <c:ptCount val="12"/>
                <c:pt idx="0">
                  <c:v>84.11</c:v>
                </c:pt>
                <c:pt idx="1">
                  <c:v>94.43</c:v>
                </c:pt>
                <c:pt idx="2">
                  <c:v>97.1</c:v>
                </c:pt>
                <c:pt idx="3">
                  <c:v>104.07</c:v>
                </c:pt>
                <c:pt idx="4">
                  <c:v>99.73</c:v>
                </c:pt>
                <c:pt idx="5">
                  <c:v>98.31</c:v>
                </c:pt>
                <c:pt idx="6">
                  <c:v>84.67</c:v>
                </c:pt>
                <c:pt idx="7" formatCode="_(* #,##0.00_);_(* \(#,##0.00\);_(* &quot;-&quot;??_);_(@_)">
                  <c:v>94.7</c:v>
                </c:pt>
                <c:pt idx="8">
                  <c:v>95.8</c:v>
                </c:pt>
                <c:pt idx="9">
                  <c:v>98.1</c:v>
                </c:pt>
                <c:pt idx="10" formatCode="_(* #,##0.00_);_(* \(#,##0.00\);_(* &quot;-&quot;??_);_(@_)">
                  <c:v>107</c:v>
                </c:pt>
                <c:pt idx="11" formatCode="_(* #,##0.00_);_(* \(#,##0.00\);_(* &quot;-&quot;??_);_(@_)">
                  <c:v>112.89999999999999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'Waste Data &amp; Service Charg'!$B$26</c:f>
              <c:strCache>
                <c:ptCount val="1"/>
                <c:pt idx="0">
                  <c:v>Sanitary Waste</c:v>
                </c:pt>
              </c:strCache>
            </c:strRef>
          </c:tx>
          <c:cat>
            <c:strRef>
              <c:f>'Waste Data &amp; Service Charg'!$C$19:$N$19</c:f>
              <c:strCache>
                <c:ptCount val="12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June_2023</c:v>
                </c:pt>
                <c:pt idx="6">
                  <c:v>July_2023</c:v>
                </c:pt>
                <c:pt idx="7">
                  <c:v>August_2023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</c:strCache>
            </c:strRef>
          </c:cat>
          <c:val>
            <c:numRef>
              <c:f>'Waste Data &amp; Service Charg'!$C$26:$N$26</c:f>
              <c:numCache>
                <c:formatCode>General</c:formatCode>
                <c:ptCount val="12"/>
                <c:pt idx="0">
                  <c:v>6.09</c:v>
                </c:pt>
                <c:pt idx="1">
                  <c:v>5.68</c:v>
                </c:pt>
                <c:pt idx="2">
                  <c:v>4.9000000000000004</c:v>
                </c:pt>
                <c:pt idx="3">
                  <c:v>5.42</c:v>
                </c:pt>
                <c:pt idx="4">
                  <c:v>5.87</c:v>
                </c:pt>
                <c:pt idx="5">
                  <c:v>6.21</c:v>
                </c:pt>
                <c:pt idx="6">
                  <c:v>6.59</c:v>
                </c:pt>
                <c:pt idx="7" formatCode="_(* #,##0.00_);_(* \(#,##0.00\);_(* &quot;-&quot;??_);_(@_)">
                  <c:v>6.3</c:v>
                </c:pt>
                <c:pt idx="8">
                  <c:v>5.4</c:v>
                </c:pt>
                <c:pt idx="9">
                  <c:v>5.6</c:v>
                </c:pt>
                <c:pt idx="10" formatCode="_(* #,##0.00_);_(* \(#,##0.00\);_(* &quot;-&quot;??_);_(@_)">
                  <c:v>7.5</c:v>
                </c:pt>
                <c:pt idx="11" formatCode="_(* #,##0.00_);_(* \(#,##0.00\);_(* &quot;-&quot;??_);_(@_)">
                  <c:v>8.7999999999999989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'Waste Data &amp; Service Charg'!$B$27</c:f>
              <c:strCache>
                <c:ptCount val="1"/>
                <c:pt idx="0">
                  <c:v>C &amp; D </c:v>
                </c:pt>
              </c:strCache>
            </c:strRef>
          </c:tx>
          <c:cat>
            <c:strRef>
              <c:f>'Waste Data &amp; Service Charg'!$C$19:$N$19</c:f>
              <c:strCache>
                <c:ptCount val="12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June_2023</c:v>
                </c:pt>
                <c:pt idx="6">
                  <c:v>July_2023</c:v>
                </c:pt>
                <c:pt idx="7">
                  <c:v>August_2023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</c:strCache>
            </c:strRef>
          </c:cat>
          <c:val>
            <c:numRef>
              <c:f>'Waste Data &amp; Service Charg'!$C$27:$N$27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2418.9</c:v>
                </c:pt>
                <c:pt idx="10" formatCode="_(* #,##0.00_);_(* \(#,##0.00\);_(* &quot;-&quot;??_);_(@_)">
                  <c:v>2479</c:v>
                </c:pt>
                <c:pt idx="11" formatCode="_(* #,##0.00_);_(* \(#,##0.00\);_(* &quot;-&quot;??_);_(@_)">
                  <c:v>1628.7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2608"/>
        <c:axId val="133925696"/>
      </c:lineChart>
      <c:catAx>
        <c:axId val="13421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33925696"/>
        <c:crosses val="autoZero"/>
        <c:auto val="1"/>
        <c:lblAlgn val="ctr"/>
        <c:lblOffset val="100"/>
        <c:noMultiLvlLbl val="1"/>
      </c:catAx>
      <c:valAx>
        <c:axId val="133925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34212608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482255</xdr:colOff>
      <xdr:row>0</xdr:row>
      <xdr:rowOff>32654</xdr:rowOff>
    </xdr:from>
    <xdr:to>
      <xdr:col>30</xdr:col>
      <xdr:colOff>215554</xdr:colOff>
      <xdr:row>14</xdr:row>
      <xdr:rowOff>146954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464730</xdr:colOff>
      <xdr:row>15</xdr:row>
      <xdr:rowOff>61451</xdr:rowOff>
    </xdr:from>
    <xdr:to>
      <xdr:col>30</xdr:col>
      <xdr:colOff>194596</xdr:colOff>
      <xdr:row>16</xdr:row>
      <xdr:rowOff>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513229</xdr:colOff>
      <xdr:row>17</xdr:row>
      <xdr:rowOff>141753</xdr:rowOff>
    </xdr:from>
    <xdr:to>
      <xdr:col>30</xdr:col>
      <xdr:colOff>266290</xdr:colOff>
      <xdr:row>29</xdr:row>
      <xdr:rowOff>92178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8"/>
  <sheetViews>
    <sheetView tabSelected="1" topLeftCell="A7" zoomScale="93" zoomScaleNormal="93" workbookViewId="0">
      <selection activeCell="O26" sqref="O26"/>
    </sheetView>
  </sheetViews>
  <sheetFormatPr defaultRowHeight="15" x14ac:dyDescent="0.25"/>
  <cols>
    <col min="1" max="1" width="1.42578125" style="23" customWidth="1"/>
    <col min="2" max="2" width="31.140625" style="23" customWidth="1"/>
    <col min="3" max="7" width="11.7109375" style="23" customWidth="1"/>
    <col min="8" max="9" width="11.7109375" style="25" customWidth="1"/>
    <col min="10" max="14" width="11.7109375" style="23" customWidth="1"/>
    <col min="15" max="15" width="15.7109375" style="23" customWidth="1"/>
    <col min="16" max="16" width="14.5703125" style="23" customWidth="1"/>
    <col min="17" max="18" width="9.140625" style="23"/>
    <col min="19" max="19" width="14.7109375" style="23" customWidth="1"/>
    <col min="20" max="16384" width="9.140625" style="23"/>
  </cols>
  <sheetData>
    <row r="2" spans="2:15" x14ac:dyDescent="0.25">
      <c r="B2" s="56" t="s">
        <v>17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2:15" ht="15.75" x14ac:dyDescent="0.25">
      <c r="B3" s="8" t="s">
        <v>13</v>
      </c>
      <c r="C3" s="38" t="s">
        <v>21</v>
      </c>
      <c r="D3" s="19" t="s">
        <v>22</v>
      </c>
      <c r="E3" s="19" t="s">
        <v>23</v>
      </c>
      <c r="F3" s="19" t="s">
        <v>24</v>
      </c>
      <c r="G3" s="19" t="s">
        <v>25</v>
      </c>
      <c r="H3" s="19" t="s">
        <v>26</v>
      </c>
      <c r="I3" s="19" t="s">
        <v>27</v>
      </c>
      <c r="J3" s="19" t="s">
        <v>30</v>
      </c>
      <c r="K3" s="19" t="s">
        <v>29</v>
      </c>
      <c r="L3" s="19" t="s">
        <v>31</v>
      </c>
      <c r="M3" s="19" t="s">
        <v>34</v>
      </c>
      <c r="N3" s="19" t="s">
        <v>35</v>
      </c>
    </row>
    <row r="4" spans="2:15" ht="15.75" x14ac:dyDescent="0.25">
      <c r="B4" s="7" t="s">
        <v>1</v>
      </c>
      <c r="C4" s="53">
        <v>1414.98</v>
      </c>
      <c r="D4" s="16">
        <v>1052.19</v>
      </c>
      <c r="E4" s="14">
        <v>1264.2</v>
      </c>
      <c r="F4" s="12">
        <v>1175.24</v>
      </c>
      <c r="G4" s="14">
        <v>1600.25</v>
      </c>
      <c r="H4" s="12">
        <v>1534.91</v>
      </c>
      <c r="I4" s="14">
        <v>1461.82</v>
      </c>
      <c r="J4" s="48">
        <v>1412.2</v>
      </c>
      <c r="K4" s="14">
        <v>1474.9</v>
      </c>
      <c r="L4" s="14">
        <v>1615.1000000000001</v>
      </c>
      <c r="M4" s="14">
        <v>1562</v>
      </c>
      <c r="N4" s="14">
        <v>1532.8999999999999</v>
      </c>
      <c r="O4" s="55"/>
    </row>
    <row r="5" spans="2:15" ht="15.75" x14ac:dyDescent="0.25">
      <c r="B5" s="7" t="s">
        <v>2</v>
      </c>
      <c r="C5" s="53">
        <v>699.79</v>
      </c>
      <c r="D5" s="16">
        <v>629.4</v>
      </c>
      <c r="E5" s="12">
        <v>777.4</v>
      </c>
      <c r="F5" s="12">
        <v>708.33</v>
      </c>
      <c r="G5" s="12">
        <v>907.64</v>
      </c>
      <c r="H5" s="12">
        <v>822.12</v>
      </c>
      <c r="I5" s="12">
        <v>791.55</v>
      </c>
      <c r="J5" s="48">
        <v>774.2</v>
      </c>
      <c r="K5" s="12">
        <v>797.8</v>
      </c>
      <c r="L5" s="12">
        <v>766.6</v>
      </c>
      <c r="M5" s="12">
        <v>827.7</v>
      </c>
      <c r="N5" s="12">
        <v>830.09999999999991</v>
      </c>
      <c r="O5" s="55"/>
    </row>
    <row r="6" spans="2:15" ht="15.75" x14ac:dyDescent="0.25">
      <c r="B6" s="7" t="s">
        <v>3</v>
      </c>
      <c r="C6" s="53">
        <v>1522.09</v>
      </c>
      <c r="D6" s="16">
        <v>1418.32</v>
      </c>
      <c r="E6" s="12">
        <v>1641</v>
      </c>
      <c r="F6" s="12">
        <v>1610.06</v>
      </c>
      <c r="G6" s="14">
        <v>2008.31</v>
      </c>
      <c r="H6" s="12">
        <v>1877.89</v>
      </c>
      <c r="I6" s="14">
        <v>1724.31</v>
      </c>
      <c r="J6" s="48">
        <v>1548.5</v>
      </c>
      <c r="K6" s="14">
        <v>1771.6</v>
      </c>
      <c r="L6" s="14">
        <v>1827.3000000000002</v>
      </c>
      <c r="M6" s="14">
        <v>1780.2</v>
      </c>
      <c r="N6" s="14">
        <v>1865.5</v>
      </c>
      <c r="O6" s="55"/>
    </row>
    <row r="7" spans="2:15" ht="15.75" x14ac:dyDescent="0.25">
      <c r="B7" s="7" t="s">
        <v>14</v>
      </c>
      <c r="C7" s="53">
        <v>2773.83</v>
      </c>
      <c r="D7" s="16">
        <v>2321.63</v>
      </c>
      <c r="E7" s="14">
        <v>2754.5</v>
      </c>
      <c r="F7" s="12">
        <v>2577.44</v>
      </c>
      <c r="G7" s="14">
        <v>3053</v>
      </c>
      <c r="H7" s="12">
        <v>2983.78</v>
      </c>
      <c r="I7" s="14">
        <v>3012.3</v>
      </c>
      <c r="J7" s="48">
        <v>2763.8</v>
      </c>
      <c r="K7" s="14">
        <v>3094.9</v>
      </c>
      <c r="L7" s="14">
        <v>3098.5</v>
      </c>
      <c r="M7" s="14">
        <v>3248.7000000000003</v>
      </c>
      <c r="N7" s="14">
        <v>3270.9999999999995</v>
      </c>
      <c r="O7" s="55"/>
    </row>
    <row r="8" spans="2:15" ht="15.75" x14ac:dyDescent="0.25">
      <c r="B8" s="7" t="s">
        <v>6</v>
      </c>
      <c r="C8" s="53">
        <v>582.62</v>
      </c>
      <c r="D8" s="16">
        <v>483.38</v>
      </c>
      <c r="E8" s="12">
        <v>650.5</v>
      </c>
      <c r="F8" s="12">
        <v>623.54999999999995</v>
      </c>
      <c r="G8" s="12">
        <v>706.99</v>
      </c>
      <c r="H8" s="12">
        <v>663.75</v>
      </c>
      <c r="I8" s="12">
        <v>686.58</v>
      </c>
      <c r="J8" s="48">
        <v>652.29999999999995</v>
      </c>
      <c r="K8" s="12">
        <v>536.1</v>
      </c>
      <c r="L8" s="12">
        <v>425.5</v>
      </c>
      <c r="M8" s="12">
        <v>485.9</v>
      </c>
      <c r="N8" s="12">
        <v>410.59999999999997</v>
      </c>
      <c r="O8" s="55"/>
    </row>
    <row r="9" spans="2:15" ht="15.75" x14ac:dyDescent="0.25">
      <c r="B9" s="7" t="s">
        <v>4</v>
      </c>
      <c r="C9" s="53">
        <v>1334.96</v>
      </c>
      <c r="D9" s="16">
        <v>1752.27</v>
      </c>
      <c r="E9" s="12">
        <v>2295</v>
      </c>
      <c r="F9" s="12">
        <v>2222.86</v>
      </c>
      <c r="G9" s="14">
        <v>2116.79</v>
      </c>
      <c r="H9" s="12">
        <v>1703.5</v>
      </c>
      <c r="I9" s="14">
        <v>2289.37</v>
      </c>
      <c r="J9" s="48">
        <v>1928.8</v>
      </c>
      <c r="K9" s="14">
        <v>1297.3</v>
      </c>
      <c r="L9" s="14">
        <v>1838.0000000000002</v>
      </c>
      <c r="M9" s="14">
        <v>1889.6999999999998</v>
      </c>
      <c r="N9" s="14">
        <v>1817.3</v>
      </c>
      <c r="O9" s="55"/>
    </row>
    <row r="10" spans="2:15" ht="15.75" x14ac:dyDescent="0.25">
      <c r="B10" s="7" t="s">
        <v>5</v>
      </c>
      <c r="C10" s="53">
        <v>635.48</v>
      </c>
      <c r="D10" s="16">
        <v>553.61</v>
      </c>
      <c r="E10" s="12">
        <v>653.6</v>
      </c>
      <c r="F10" s="12">
        <v>672.59</v>
      </c>
      <c r="G10" s="12">
        <v>815.42</v>
      </c>
      <c r="H10" s="12">
        <v>818.81</v>
      </c>
      <c r="I10" s="12">
        <v>669.09</v>
      </c>
      <c r="J10" s="48">
        <v>670.1</v>
      </c>
      <c r="K10" s="12">
        <v>680.4</v>
      </c>
      <c r="L10" s="12">
        <v>743.1</v>
      </c>
      <c r="M10" s="12">
        <v>722.1</v>
      </c>
      <c r="N10" s="12">
        <v>774.4</v>
      </c>
      <c r="O10" s="55"/>
    </row>
    <row r="11" spans="2:15" x14ac:dyDescent="0.25">
      <c r="B11" s="52" t="s">
        <v>32</v>
      </c>
      <c r="C11" s="53"/>
      <c r="D11" s="16"/>
      <c r="E11" s="12"/>
      <c r="F11" s="12"/>
      <c r="G11" s="12"/>
      <c r="H11" s="12"/>
      <c r="I11" s="12"/>
      <c r="J11" s="48"/>
      <c r="K11" s="12"/>
      <c r="L11" s="12">
        <v>54.5</v>
      </c>
      <c r="M11" s="12">
        <v>56.900000000000006</v>
      </c>
      <c r="N11" s="12">
        <v>32</v>
      </c>
      <c r="O11" s="55"/>
    </row>
    <row r="12" spans="2:15" x14ac:dyDescent="0.25">
      <c r="B12" s="52" t="s">
        <v>36</v>
      </c>
      <c r="C12" s="53"/>
      <c r="D12" s="16"/>
      <c r="E12" s="12"/>
      <c r="F12" s="12"/>
      <c r="G12" s="12"/>
      <c r="H12" s="12"/>
      <c r="I12" s="12"/>
      <c r="J12" s="48"/>
      <c r="K12" s="12"/>
      <c r="L12" s="12"/>
      <c r="M12" s="12"/>
      <c r="N12" s="12">
        <v>11.6</v>
      </c>
      <c r="O12" s="55"/>
    </row>
    <row r="13" spans="2:15" x14ac:dyDescent="0.25">
      <c r="B13" s="52" t="s">
        <v>33</v>
      </c>
      <c r="C13" s="53"/>
      <c r="D13" s="16"/>
      <c r="E13" s="12"/>
      <c r="F13" s="12"/>
      <c r="G13" s="12"/>
      <c r="H13" s="12"/>
      <c r="I13" s="12"/>
      <c r="J13" s="48"/>
      <c r="K13" s="12"/>
      <c r="L13" s="12">
        <v>2418.9</v>
      </c>
      <c r="M13" s="12">
        <v>2479</v>
      </c>
      <c r="N13" s="12">
        <v>1628.7</v>
      </c>
      <c r="O13" s="55"/>
    </row>
    <row r="14" spans="2:15" ht="15.75" x14ac:dyDescent="0.25">
      <c r="B14" s="1" t="s">
        <v>7</v>
      </c>
      <c r="C14" s="11">
        <f t="shared" ref="C14:N14" si="0">SUM(C4:C13)</f>
        <v>8963.75</v>
      </c>
      <c r="D14" s="11">
        <f t="shared" si="0"/>
        <v>8210.8000000000011</v>
      </c>
      <c r="E14" s="11">
        <f t="shared" si="0"/>
        <v>10036.200000000001</v>
      </c>
      <c r="F14" s="11">
        <f t="shared" si="0"/>
        <v>9590.07</v>
      </c>
      <c r="G14" s="11">
        <f t="shared" si="0"/>
        <v>11208.4</v>
      </c>
      <c r="H14" s="11">
        <f t="shared" si="0"/>
        <v>10404.76</v>
      </c>
      <c r="I14" s="11">
        <f t="shared" si="0"/>
        <v>10635.02</v>
      </c>
      <c r="J14" s="11">
        <f t="shared" si="0"/>
        <v>9749.9000000000015</v>
      </c>
      <c r="K14" s="11">
        <f t="shared" si="0"/>
        <v>9653</v>
      </c>
      <c r="L14" s="11">
        <f t="shared" si="0"/>
        <v>12787.5</v>
      </c>
      <c r="M14" s="11">
        <f t="shared" si="0"/>
        <v>13052.2</v>
      </c>
      <c r="N14" s="11">
        <f t="shared" si="0"/>
        <v>12174.1</v>
      </c>
      <c r="O14" s="24"/>
    </row>
    <row r="15" spans="2:15" ht="15.75" x14ac:dyDescent="0.25">
      <c r="B15" s="2"/>
      <c r="C15" s="2"/>
      <c r="D15" s="3"/>
      <c r="E15" s="4"/>
      <c r="F15" s="5"/>
      <c r="G15" s="24"/>
      <c r="H15" s="39"/>
      <c r="I15" s="39"/>
      <c r="J15" s="24"/>
      <c r="K15" s="24"/>
      <c r="L15" s="24"/>
      <c r="M15" s="24"/>
    </row>
    <row r="17" spans="2:14" x14ac:dyDescent="0.25">
      <c r="B17" s="27"/>
      <c r="C17" s="28"/>
      <c r="D17" s="28"/>
      <c r="L17" s="26"/>
    </row>
    <row r="18" spans="2:14" x14ac:dyDescent="0.25">
      <c r="B18" s="57" t="s">
        <v>20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</row>
    <row r="19" spans="2:14" x14ac:dyDescent="0.25">
      <c r="B19" s="54" t="s">
        <v>15</v>
      </c>
      <c r="C19" s="45" t="s">
        <v>21</v>
      </c>
      <c r="D19" s="20" t="s">
        <v>22</v>
      </c>
      <c r="E19" s="20" t="s">
        <v>23</v>
      </c>
      <c r="F19" s="20" t="s">
        <v>24</v>
      </c>
      <c r="G19" s="20" t="s">
        <v>25</v>
      </c>
      <c r="H19" s="20" t="s">
        <v>26</v>
      </c>
      <c r="I19" s="19" t="s">
        <v>27</v>
      </c>
      <c r="J19" s="19" t="s">
        <v>28</v>
      </c>
      <c r="K19" s="19" t="s">
        <v>29</v>
      </c>
      <c r="L19" s="20" t="s">
        <v>31</v>
      </c>
      <c r="M19" s="19" t="s">
        <v>34</v>
      </c>
      <c r="N19" s="19" t="s">
        <v>35</v>
      </c>
    </row>
    <row r="20" spans="2:14" x14ac:dyDescent="0.25">
      <c r="B20" s="29" t="s">
        <v>19</v>
      </c>
      <c r="C20" s="46">
        <v>1435.69</v>
      </c>
      <c r="D20" s="34">
        <v>1231.1600000000001</v>
      </c>
      <c r="E20" s="18">
        <v>1115.9000000000001</v>
      </c>
      <c r="F20" s="34">
        <v>3245.81</v>
      </c>
      <c r="G20" s="18">
        <v>3367.71</v>
      </c>
      <c r="H20" s="31">
        <v>2690.16</v>
      </c>
      <c r="I20" s="49">
        <v>1384.28</v>
      </c>
      <c r="J20" s="18">
        <v>507</v>
      </c>
      <c r="K20" s="32">
        <v>346.7</v>
      </c>
      <c r="L20" s="32">
        <v>142.30000000000001</v>
      </c>
      <c r="M20" s="6">
        <v>172.5</v>
      </c>
      <c r="N20" s="6">
        <v>114.1</v>
      </c>
    </row>
    <row r="21" spans="2:14" x14ac:dyDescent="0.25">
      <c r="B21" s="29" t="s">
        <v>8</v>
      </c>
      <c r="C21" s="46">
        <v>3819.67</v>
      </c>
      <c r="D21" s="35">
        <v>3780.65</v>
      </c>
      <c r="E21" s="18">
        <v>4742.1000000000004</v>
      </c>
      <c r="F21" s="34">
        <v>4338.96</v>
      </c>
      <c r="G21" s="18">
        <v>5626.75</v>
      </c>
      <c r="H21" s="37">
        <v>5663</v>
      </c>
      <c r="I21" s="49">
        <v>5347.24</v>
      </c>
      <c r="J21" s="51">
        <v>5531.1</v>
      </c>
      <c r="K21" s="33">
        <v>5402.4</v>
      </c>
      <c r="L21" s="33">
        <v>6515.1</v>
      </c>
      <c r="M21" s="6">
        <v>6114.2</v>
      </c>
      <c r="N21" s="6">
        <v>5980.4000000000005</v>
      </c>
    </row>
    <row r="22" spans="2:14" x14ac:dyDescent="0.25">
      <c r="B22" s="29" t="s">
        <v>16</v>
      </c>
      <c r="C22" s="46">
        <v>3058.74</v>
      </c>
      <c r="D22" s="35">
        <v>2930.22</v>
      </c>
      <c r="E22" s="9">
        <v>3866.5</v>
      </c>
      <c r="F22" s="14">
        <v>1691.72</v>
      </c>
      <c r="G22" s="9">
        <v>1772.86</v>
      </c>
      <c r="H22" s="10">
        <v>1611.16</v>
      </c>
      <c r="I22" s="49">
        <v>3419.36</v>
      </c>
      <c r="J22" s="17">
        <v>3165.1</v>
      </c>
      <c r="K22" s="33">
        <v>3384.7</v>
      </c>
      <c r="L22" s="33">
        <v>3337.1</v>
      </c>
      <c r="M22" s="6">
        <v>3831.2</v>
      </c>
      <c r="N22" s="6">
        <v>4020.6000000000004</v>
      </c>
    </row>
    <row r="23" spans="2:14" x14ac:dyDescent="0.25">
      <c r="B23" s="29" t="s">
        <v>9</v>
      </c>
      <c r="C23" s="46">
        <v>536.66999999999996</v>
      </c>
      <c r="D23" s="13">
        <v>167.64</v>
      </c>
      <c r="E23" s="18">
        <v>209.7</v>
      </c>
      <c r="F23" s="15">
        <v>204.09</v>
      </c>
      <c r="G23" s="18">
        <v>335.48</v>
      </c>
      <c r="H23" s="31">
        <v>335.92</v>
      </c>
      <c r="I23" s="50">
        <v>392.88</v>
      </c>
      <c r="J23" s="51">
        <v>445.7</v>
      </c>
      <c r="K23" s="32">
        <v>418</v>
      </c>
      <c r="L23" s="32">
        <v>270</v>
      </c>
      <c r="M23" s="6">
        <v>340.8</v>
      </c>
      <c r="N23" s="6">
        <v>308.59999999999997</v>
      </c>
    </row>
    <row r="24" spans="2:14" x14ac:dyDescent="0.25">
      <c r="B24" s="29" t="s">
        <v>10</v>
      </c>
      <c r="C24" s="46">
        <v>22.78</v>
      </c>
      <c r="D24" s="13">
        <v>1.02</v>
      </c>
      <c r="E24" s="18">
        <v>0</v>
      </c>
      <c r="F24" s="15">
        <v>0</v>
      </c>
      <c r="G24" s="18">
        <v>0</v>
      </c>
      <c r="H24" s="31">
        <v>0</v>
      </c>
      <c r="I24" s="36">
        <v>0</v>
      </c>
      <c r="J24" s="36">
        <v>0</v>
      </c>
      <c r="K24" s="32">
        <v>0</v>
      </c>
      <c r="L24" s="32">
        <v>0</v>
      </c>
      <c r="M24" s="32">
        <v>0</v>
      </c>
      <c r="N24" s="32">
        <v>0</v>
      </c>
    </row>
    <row r="25" spans="2:14" ht="15.75" customHeight="1" x14ac:dyDescent="0.25">
      <c r="B25" s="30" t="s">
        <v>11</v>
      </c>
      <c r="C25" s="46">
        <v>84.11</v>
      </c>
      <c r="D25" s="13">
        <v>94.43</v>
      </c>
      <c r="E25" s="18">
        <v>97.1</v>
      </c>
      <c r="F25" s="15">
        <v>104.07</v>
      </c>
      <c r="G25" s="18">
        <v>99.73</v>
      </c>
      <c r="H25" s="31">
        <v>98.31</v>
      </c>
      <c r="I25" s="50">
        <v>84.67</v>
      </c>
      <c r="J25" s="51">
        <v>94.7</v>
      </c>
      <c r="K25" s="32">
        <v>95.8</v>
      </c>
      <c r="L25" s="32">
        <v>98.1</v>
      </c>
      <c r="M25" s="6">
        <v>107</v>
      </c>
      <c r="N25" s="10">
        <v>112.89999999999999</v>
      </c>
    </row>
    <row r="26" spans="2:14" x14ac:dyDescent="0.25">
      <c r="B26" s="29" t="s">
        <v>12</v>
      </c>
      <c r="C26" s="46">
        <v>6.09</v>
      </c>
      <c r="D26" s="13">
        <v>5.68</v>
      </c>
      <c r="E26" s="18">
        <v>4.9000000000000004</v>
      </c>
      <c r="F26" s="15">
        <v>5.42</v>
      </c>
      <c r="G26" s="18">
        <v>5.87</v>
      </c>
      <c r="H26" s="31">
        <v>6.21</v>
      </c>
      <c r="I26" s="50">
        <v>6.59</v>
      </c>
      <c r="J26" s="51">
        <v>6.3</v>
      </c>
      <c r="K26" s="32">
        <v>5.4</v>
      </c>
      <c r="L26" s="32">
        <v>5.6</v>
      </c>
      <c r="M26" s="6">
        <v>7.5</v>
      </c>
      <c r="N26" s="6">
        <v>8.7999999999999989</v>
      </c>
    </row>
    <row r="27" spans="2:14" x14ac:dyDescent="0.25">
      <c r="B27" s="29" t="s">
        <v>18</v>
      </c>
      <c r="C27" s="47">
        <v>0</v>
      </c>
      <c r="D27" s="15">
        <v>0</v>
      </c>
      <c r="E27" s="36">
        <v>0</v>
      </c>
      <c r="F27" s="12">
        <v>0</v>
      </c>
      <c r="G27" s="15">
        <v>0</v>
      </c>
      <c r="H27" s="21">
        <v>0</v>
      </c>
      <c r="I27" s="36">
        <v>0</v>
      </c>
      <c r="J27" s="36">
        <v>0</v>
      </c>
      <c r="K27" s="12">
        <v>0</v>
      </c>
      <c r="L27" s="12">
        <v>2418.9</v>
      </c>
      <c r="M27" s="6">
        <v>2479</v>
      </c>
      <c r="N27" s="6">
        <v>1628.7</v>
      </c>
    </row>
    <row r="28" spans="2:14" x14ac:dyDescent="0.25">
      <c r="B28" s="22" t="s">
        <v>0</v>
      </c>
      <c r="C28" s="41">
        <f>SUM(C20:C27)</f>
        <v>8963.7500000000018</v>
      </c>
      <c r="D28" s="42">
        <f t="shared" ref="D28:I28" si="1">SUM(D20:D27)</f>
        <v>8210.8000000000011</v>
      </c>
      <c r="E28" s="43">
        <f t="shared" si="1"/>
        <v>10036.200000000001</v>
      </c>
      <c r="F28" s="40">
        <f t="shared" si="1"/>
        <v>9590.07</v>
      </c>
      <c r="G28" s="44">
        <f t="shared" si="1"/>
        <v>11208.4</v>
      </c>
      <c r="H28" s="40">
        <f t="shared" si="1"/>
        <v>10404.759999999998</v>
      </c>
      <c r="I28" s="44">
        <f t="shared" si="1"/>
        <v>10635.019999999999</v>
      </c>
      <c r="J28" s="44">
        <f>SUM(J20:J27)</f>
        <v>9749.9000000000015</v>
      </c>
      <c r="K28" s="40">
        <f>SUM(K20:K27)</f>
        <v>9652.9999999999982</v>
      </c>
      <c r="L28" s="40">
        <f>SUM(L20:L27)</f>
        <v>12787.1</v>
      </c>
      <c r="M28" s="40">
        <f>SUM(M20:M27)</f>
        <v>13052.199999999999</v>
      </c>
      <c r="N28" s="40">
        <f>SUM(N20:N27)</f>
        <v>12174.100000000002</v>
      </c>
    </row>
  </sheetData>
  <mergeCells count="2">
    <mergeCell ref="B2:N2"/>
    <mergeCell ref="B18:N18"/>
  </mergeCells>
  <pageMargins left="0.2" right="0.196850393700787" top="0.74803149606299202" bottom="0.74803149606299202" header="0.31496062992126" footer="0.31496062992126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Waste Data &amp; Service Charg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Nipuni Prathibha</dc:creator>
  <cp:lastModifiedBy>USER</cp:lastModifiedBy>
  <cp:lastPrinted>2024-01-19T19:10:36Z</cp:lastPrinted>
  <dcterms:created xsi:type="dcterms:W3CDTF">2019-06-15T04:05:33Z</dcterms:created>
  <dcterms:modified xsi:type="dcterms:W3CDTF">2026-08-17T06:15:32Z</dcterms:modified>
</cp:coreProperties>
</file>
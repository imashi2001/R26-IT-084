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0" yWindow="0" windowWidth="2160" windowHeight="1185"/>
  </bookViews>
  <sheets>
    <sheet name="Waste Data &amp; Service Charg" sheetId="1" r:id="rId1"/>
  </sheets>
  <definedNames>
    <definedName name="OLE_LINK1" localSheetId="0">'Waste Data &amp; Service Charg'!#REF!</definedName>
  </definedNames>
  <calcPr calcId="144525"/>
</workbook>
</file>

<file path=xl/calcChain.xml><?xml version="1.0" encoding="utf-8"?>
<calcChain xmlns="http://schemas.openxmlformats.org/spreadsheetml/2006/main">
  <c r="N27" i="1" l="1"/>
  <c r="M27" i="1"/>
  <c r="L27" i="1"/>
  <c r="K27" i="1"/>
  <c r="J27" i="1"/>
  <c r="I27" i="1"/>
  <c r="H27" i="1"/>
  <c r="G27" i="1"/>
  <c r="F27" i="1"/>
  <c r="E27" i="1"/>
  <c r="D27" i="1"/>
  <c r="C27" i="1"/>
  <c r="N14" i="1"/>
  <c r="M14" i="1"/>
  <c r="L14" i="1"/>
  <c r="K14" i="1"/>
  <c r="J14" i="1"/>
  <c r="I14" i="1"/>
  <c r="H14" i="1"/>
  <c r="G14" i="1"/>
  <c r="F14" i="1"/>
  <c r="E14" i="1"/>
  <c r="D14" i="1"/>
  <c r="C14" i="1"/>
</calcChain>
</file>

<file path=xl/sharedStrings.xml><?xml version="1.0" encoding="utf-8"?>
<sst xmlns="http://schemas.openxmlformats.org/spreadsheetml/2006/main" count="48" uniqueCount="36">
  <si>
    <t>Total</t>
  </si>
  <si>
    <t>Moratuwa M.C.</t>
  </si>
  <si>
    <t>Boralesgamuwa U.C.</t>
  </si>
  <si>
    <t>Kesbewa U.C.</t>
  </si>
  <si>
    <t>Maharagama U.C.</t>
  </si>
  <si>
    <t>Homagama P.S.</t>
  </si>
  <si>
    <t>Sri J,puraKotte M.C.</t>
  </si>
  <si>
    <t>Total/Mt</t>
  </si>
  <si>
    <t>SOW</t>
  </si>
  <si>
    <t>Bulky Waste</t>
  </si>
  <si>
    <t>Industrial Waste</t>
  </si>
  <si>
    <t>Slaughter House Waste</t>
  </si>
  <si>
    <t>Sanitary Waste</t>
  </si>
  <si>
    <t>Institute</t>
  </si>
  <si>
    <t xml:space="preserve">Dehiwala - Mt Lavinia </t>
  </si>
  <si>
    <t>Category</t>
  </si>
  <si>
    <t>Burnable</t>
  </si>
  <si>
    <t xml:space="preserve">Total Waste Intake  </t>
  </si>
  <si>
    <t xml:space="preserve">C &amp; D </t>
  </si>
  <si>
    <t>Unburnable</t>
  </si>
  <si>
    <t>Category Vise</t>
  </si>
  <si>
    <t xml:space="preserve">Kothalawala Defence University </t>
  </si>
  <si>
    <t xml:space="preserve">Other </t>
  </si>
  <si>
    <t>Kothalawala Defence Hospital</t>
  </si>
  <si>
    <t>Jan_2024</t>
  </si>
  <si>
    <t>Feb_2024</t>
  </si>
  <si>
    <t>Mar_2024</t>
  </si>
  <si>
    <t>Apr_2024</t>
  </si>
  <si>
    <t>May_2024</t>
  </si>
  <si>
    <t>June_2024</t>
  </si>
  <si>
    <t>July_2024</t>
  </si>
  <si>
    <t>Aug_2024</t>
  </si>
  <si>
    <t>Sep_2024</t>
  </si>
  <si>
    <t>Oct_2024</t>
  </si>
  <si>
    <t>Nov_2024</t>
  </si>
  <si>
    <t>Dec_2024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</si>
</sst>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_(* #,##0.00_);_(* \(#,##0.00\);_(* &quot;-&quot;??_);_(@_)"/>
    <numFmt numFmtId="165" formatCode="_(* #,##0_);_(* \(#,##0\);_(* &quot;-&quot;??_);_(@_)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rgb="FF1F497D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35">
    <xf numFmtId="0" fontId="0" fillId="0" borderId="0" xfId="0"/>
    <xf numFmtId="0" fontId="2" fillId="0" borderId="1" xfId="0" applyFont="1" applyBorder="1" applyAlignment="1">
      <alignment horizontal="left" vertical="center"/>
    </xf>
    <xf numFmtId="0" fontId="7" fillId="0" borderId="0" xfId="0" applyFont="1"/>
    <xf numFmtId="164" fontId="7" fillId="0" borderId="0" xfId="0" applyNumberFormat="1" applyFont="1" applyAlignment="1">
      <alignment horizontal="center" vertical="center"/>
    </xf>
    <xf numFmtId="164" fontId="7" fillId="0" borderId="0" xfId="1" applyFont="1" applyAlignment="1">
      <alignment horizontal="center" vertical="center"/>
    </xf>
    <xf numFmtId="164" fontId="7" fillId="0" borderId="0" xfId="1" applyFont="1"/>
    <xf numFmtId="164" fontId="0" fillId="0" borderId="1" xfId="1" applyFont="1" applyBorder="1" applyAlignment="1">
      <alignment horizontal="right" vertical="center" wrapText="1"/>
    </xf>
    <xf numFmtId="0" fontId="3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164" fontId="0" fillId="0" borderId="1" xfId="1" applyFont="1" applyBorder="1"/>
    <xf numFmtId="4" fontId="6" fillId="0" borderId="1" xfId="0" applyNumberFormat="1" applyFont="1" applyBorder="1" applyAlignment="1">
      <alignment horizontal="right" vertical="center" wrapText="1"/>
    </xf>
    <xf numFmtId="0" fontId="4" fillId="0" borderId="1" xfId="0" applyFont="1" applyBorder="1" applyAlignment="1">
      <alignment horizontal="right" vertical="center" wrapText="1"/>
    </xf>
    <xf numFmtId="4" fontId="4" fillId="0" borderId="1" xfId="0" applyNumberFormat="1" applyFont="1" applyBorder="1" applyAlignment="1">
      <alignment horizontal="right" vertical="center" wrapText="1"/>
    </xf>
    <xf numFmtId="0" fontId="8" fillId="0" borderId="1" xfId="0" applyFont="1" applyBorder="1" applyAlignment="1">
      <alignment horizontal="center" vertical="center" wrapText="1"/>
    </xf>
    <xf numFmtId="0" fontId="0" fillId="0" borderId="1" xfId="0" applyFont="1" applyBorder="1"/>
    <xf numFmtId="0" fontId="6" fillId="0" borderId="1" xfId="0" applyFont="1" applyBorder="1" applyAlignment="1">
      <alignment wrapText="1"/>
    </xf>
    <xf numFmtId="0" fontId="0" fillId="0" borderId="0" xfId="0" applyFont="1"/>
    <xf numFmtId="164" fontId="0" fillId="0" borderId="0" xfId="0" applyNumberFormat="1" applyFont="1"/>
    <xf numFmtId="0" fontId="0" fillId="0" borderId="0" xfId="0" applyFont="1" applyFill="1"/>
    <xf numFmtId="0" fontId="9" fillId="0" borderId="0" xfId="0" applyFont="1" applyBorder="1" applyAlignment="1">
      <alignment horizontal="center" wrapText="1"/>
    </xf>
    <xf numFmtId="0" fontId="10" fillId="0" borderId="0" xfId="0" applyFont="1" applyBorder="1"/>
    <xf numFmtId="165" fontId="10" fillId="0" borderId="0" xfId="1" applyNumberFormat="1" applyFont="1" applyBorder="1"/>
    <xf numFmtId="0" fontId="0" fillId="0" borderId="1" xfId="0" applyFont="1" applyBorder="1" applyAlignment="1">
      <alignment wrapText="1"/>
    </xf>
    <xf numFmtId="0" fontId="0" fillId="0" borderId="1" xfId="0" applyFont="1" applyBorder="1" applyAlignment="1">
      <alignment horizontal="left" wrapText="1"/>
    </xf>
    <xf numFmtId="0" fontId="0" fillId="0" borderId="0" xfId="0" applyFont="1" applyBorder="1"/>
    <xf numFmtId="0" fontId="0" fillId="0" borderId="1" xfId="0" applyBorder="1" applyAlignment="1">
      <alignment horizontal="right" vertical="center" wrapText="1"/>
    </xf>
    <xf numFmtId="164" fontId="0" fillId="0" borderId="0" xfId="0" applyNumberFormat="1" applyFont="1" applyFill="1"/>
    <xf numFmtId="164" fontId="6" fillId="0" borderId="1" xfId="1" applyFont="1" applyBorder="1"/>
    <xf numFmtId="0" fontId="0" fillId="0" borderId="1" xfId="0" applyFont="1" applyBorder="1" applyAlignment="1">
      <alignment horizontal="left" vertical="center"/>
    </xf>
    <xf numFmtId="0" fontId="6" fillId="0" borderId="1" xfId="0" applyFont="1" applyBorder="1" applyAlignment="1">
      <alignment vertical="center" wrapText="1"/>
    </xf>
    <xf numFmtId="164" fontId="1" fillId="0" borderId="1" xfId="1" applyFont="1" applyBorder="1" applyAlignment="1">
      <alignment horizontal="right" vertical="center"/>
    </xf>
    <xf numFmtId="0" fontId="6" fillId="0" borderId="0" xfId="0" applyFont="1" applyBorder="1" applyAlignment="1">
      <alignment horizontal="center" vertical="center"/>
    </xf>
    <xf numFmtId="164" fontId="0" fillId="0" borderId="0" xfId="1" applyFont="1"/>
    <xf numFmtId="0" fontId="6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lang="en-GB"/>
            </a:pPr>
            <a:r>
              <a:rPr lang="en-US" sz="1800" b="1" i="0" baseline="0"/>
              <a:t>Source Analysis of Total Waste Intake </a:t>
            </a:r>
            <a:endParaRPr lang="en-GB" sz="1800" b="1" i="0" baseline="0"/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6.9395680494518858E-2"/>
          <c:y val="0.1745751395799095"/>
          <c:w val="0.75006391302596132"/>
          <c:h val="0.70010686586820958"/>
        </c:manualLayout>
      </c:layout>
      <c:lineChart>
        <c:grouping val="standard"/>
        <c:varyColors val="0"/>
        <c:ser>
          <c:idx val="0"/>
          <c:order val="0"/>
          <c:tx>
            <c:strRef>
              <c:f>'Waste Data &amp; Service Charg'!$B$4</c:f>
              <c:strCache>
                <c:ptCount val="1"/>
                <c:pt idx="0">
                  <c:v>Moratuwa M.C.</c:v>
                </c:pt>
              </c:strCache>
            </c:strRef>
          </c:tx>
          <c:cat>
            <c:strRef>
              <c:f>'Waste Data &amp; Service Charg'!$C$3:$N$3</c:f>
              <c:strCache>
                <c:ptCount val="12"/>
                <c:pt idx="0">
                  <c:v>Jan_2024</c:v>
                </c:pt>
                <c:pt idx="1">
                  <c:v>Feb_2024</c:v>
                </c:pt>
                <c:pt idx="2">
                  <c:v>Mar_2024</c:v>
                </c:pt>
                <c:pt idx="3">
                  <c:v>Apr_2024</c:v>
                </c:pt>
                <c:pt idx="4">
                  <c:v>May_2024</c:v>
                </c:pt>
                <c:pt idx="5">
                  <c:v>June_2024</c:v>
                </c:pt>
                <c:pt idx="6">
                  <c:v>July_2024</c:v>
                </c:pt>
                <c:pt idx="7">
                  <c:v>Aug_2024</c:v>
                </c:pt>
                <c:pt idx="8">
                  <c:v>Sep_2024</c:v>
                </c:pt>
                <c:pt idx="9">
                  <c:v>Oct_2024</c:v>
                </c:pt>
                <c:pt idx="10">
                  <c:v>Nov_2024</c:v>
                </c:pt>
                <c:pt idx="11">
                  <c:v>Dec_2024</c:v>
                </c:pt>
              </c:strCache>
            </c:strRef>
          </c:cat>
          <c:val>
            <c:numRef>
              <c:f>'Waste Data &amp; Service Charg'!$C$4:$N$4</c:f>
              <c:numCache>
                <c:formatCode>_(* #,##0.00_);_(* \(#,##0.00\);_(* "-"??_);_(@_)</c:formatCode>
                <c:ptCount val="12"/>
                <c:pt idx="0">
                  <c:v>1517.7</c:v>
                </c:pt>
                <c:pt idx="1">
                  <c:v>1285.0999999999997</c:v>
                </c:pt>
                <c:pt idx="2">
                  <c:v>1364.1000000000001</c:v>
                </c:pt>
                <c:pt idx="3">
                  <c:v>1556.1999999999998</c:v>
                </c:pt>
                <c:pt idx="4" formatCode="#,##0.00">
                  <c:v>1605.3</c:v>
                </c:pt>
                <c:pt idx="5" formatCode="#,##0.00">
                  <c:v>1643.4</c:v>
                </c:pt>
                <c:pt idx="6" formatCode="#,##0.00">
                  <c:v>1737.1</c:v>
                </c:pt>
                <c:pt idx="7">
                  <c:v>1513.4</c:v>
                </c:pt>
                <c:pt idx="8">
                  <c:v>1352.3999999999999</c:v>
                </c:pt>
                <c:pt idx="9">
                  <c:v>1547.5</c:v>
                </c:pt>
                <c:pt idx="10">
                  <c:v>1608.5</c:v>
                </c:pt>
                <c:pt idx="11">
                  <c:v>1731.8999999999999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'Waste Data &amp; Service Charg'!$B$5</c:f>
              <c:strCache>
                <c:ptCount val="1"/>
                <c:pt idx="0">
                  <c:v>Boralesgamuwa U.C.</c:v>
                </c:pt>
              </c:strCache>
            </c:strRef>
          </c:tx>
          <c:cat>
            <c:strRef>
              <c:f>'Waste Data &amp; Service Charg'!$C$3:$N$3</c:f>
              <c:strCache>
                <c:ptCount val="12"/>
                <c:pt idx="0">
                  <c:v>Jan_2024</c:v>
                </c:pt>
                <c:pt idx="1">
                  <c:v>Feb_2024</c:v>
                </c:pt>
                <c:pt idx="2">
                  <c:v>Mar_2024</c:v>
                </c:pt>
                <c:pt idx="3">
                  <c:v>Apr_2024</c:v>
                </c:pt>
                <c:pt idx="4">
                  <c:v>May_2024</c:v>
                </c:pt>
                <c:pt idx="5">
                  <c:v>June_2024</c:v>
                </c:pt>
                <c:pt idx="6">
                  <c:v>July_2024</c:v>
                </c:pt>
                <c:pt idx="7">
                  <c:v>Aug_2024</c:v>
                </c:pt>
                <c:pt idx="8">
                  <c:v>Sep_2024</c:v>
                </c:pt>
                <c:pt idx="9">
                  <c:v>Oct_2024</c:v>
                </c:pt>
                <c:pt idx="10">
                  <c:v>Nov_2024</c:v>
                </c:pt>
                <c:pt idx="11">
                  <c:v>Dec_2024</c:v>
                </c:pt>
              </c:strCache>
            </c:strRef>
          </c:cat>
          <c:val>
            <c:numRef>
              <c:f>'Waste Data &amp; Service Charg'!$C$5:$N$5</c:f>
              <c:numCache>
                <c:formatCode>_(* #,##0.00_);_(* \(#,##0.00\);_(* "-"??_);_(@_)</c:formatCode>
                <c:ptCount val="12"/>
                <c:pt idx="0">
                  <c:v>769.7</c:v>
                </c:pt>
                <c:pt idx="1">
                  <c:v>683.8</c:v>
                </c:pt>
                <c:pt idx="2">
                  <c:v>776.09999999999991</c:v>
                </c:pt>
                <c:pt idx="3">
                  <c:v>678.1</c:v>
                </c:pt>
                <c:pt idx="4" formatCode="General">
                  <c:v>736.6</c:v>
                </c:pt>
                <c:pt idx="5" formatCode="General">
                  <c:v>739.3</c:v>
                </c:pt>
                <c:pt idx="6" formatCode="General">
                  <c:v>895.8</c:v>
                </c:pt>
                <c:pt idx="7">
                  <c:v>796.59999999999991</c:v>
                </c:pt>
                <c:pt idx="8">
                  <c:v>738.3</c:v>
                </c:pt>
                <c:pt idx="9">
                  <c:v>874</c:v>
                </c:pt>
                <c:pt idx="10">
                  <c:v>843.4</c:v>
                </c:pt>
                <c:pt idx="11">
                  <c:v>921.2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'Waste Data &amp; Service Charg'!$B$6</c:f>
              <c:strCache>
                <c:ptCount val="1"/>
                <c:pt idx="0">
                  <c:v>Kesbewa U.C.</c:v>
                </c:pt>
              </c:strCache>
            </c:strRef>
          </c:tx>
          <c:cat>
            <c:strRef>
              <c:f>'Waste Data &amp; Service Charg'!$C$3:$N$3</c:f>
              <c:strCache>
                <c:ptCount val="12"/>
                <c:pt idx="0">
                  <c:v>Jan_2024</c:v>
                </c:pt>
                <c:pt idx="1">
                  <c:v>Feb_2024</c:v>
                </c:pt>
                <c:pt idx="2">
                  <c:v>Mar_2024</c:v>
                </c:pt>
                <c:pt idx="3">
                  <c:v>Apr_2024</c:v>
                </c:pt>
                <c:pt idx="4">
                  <c:v>May_2024</c:v>
                </c:pt>
                <c:pt idx="5">
                  <c:v>June_2024</c:v>
                </c:pt>
                <c:pt idx="6">
                  <c:v>July_2024</c:v>
                </c:pt>
                <c:pt idx="7">
                  <c:v>Aug_2024</c:v>
                </c:pt>
                <c:pt idx="8">
                  <c:v>Sep_2024</c:v>
                </c:pt>
                <c:pt idx="9">
                  <c:v>Oct_2024</c:v>
                </c:pt>
                <c:pt idx="10">
                  <c:v>Nov_2024</c:v>
                </c:pt>
                <c:pt idx="11">
                  <c:v>Dec_2024</c:v>
                </c:pt>
              </c:strCache>
            </c:strRef>
          </c:cat>
          <c:val>
            <c:numRef>
              <c:f>'Waste Data &amp; Service Charg'!$C$6:$N$6</c:f>
              <c:numCache>
                <c:formatCode>_(* #,##0.00_);_(* \(#,##0.00\);_(* "-"??_);_(@_)</c:formatCode>
                <c:ptCount val="12"/>
                <c:pt idx="0">
                  <c:v>1736.4</c:v>
                </c:pt>
                <c:pt idx="1">
                  <c:v>1472.6</c:v>
                </c:pt>
                <c:pt idx="2">
                  <c:v>1649.2</c:v>
                </c:pt>
                <c:pt idx="3">
                  <c:v>1782.8000000000002</c:v>
                </c:pt>
                <c:pt idx="4" formatCode="#,##0.00">
                  <c:v>1947.5</c:v>
                </c:pt>
                <c:pt idx="5" formatCode="#,##0.00">
                  <c:v>1680.6</c:v>
                </c:pt>
                <c:pt idx="6" formatCode="#,##0.00">
                  <c:v>1888.6</c:v>
                </c:pt>
                <c:pt idx="7">
                  <c:v>1716.6</c:v>
                </c:pt>
                <c:pt idx="8">
                  <c:v>1564.8999999999999</c:v>
                </c:pt>
                <c:pt idx="9">
                  <c:v>1882</c:v>
                </c:pt>
                <c:pt idx="10">
                  <c:v>1875.6</c:v>
                </c:pt>
                <c:pt idx="11">
                  <c:v>1984.8999999999999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'Waste Data &amp; Service Charg'!$B$7</c:f>
              <c:strCache>
                <c:ptCount val="1"/>
                <c:pt idx="0">
                  <c:v>Dehiwala - Mt Lavinia </c:v>
                </c:pt>
              </c:strCache>
            </c:strRef>
          </c:tx>
          <c:cat>
            <c:strRef>
              <c:f>'Waste Data &amp; Service Charg'!$C$3:$N$3</c:f>
              <c:strCache>
                <c:ptCount val="12"/>
                <c:pt idx="0">
                  <c:v>Jan_2024</c:v>
                </c:pt>
                <c:pt idx="1">
                  <c:v>Feb_2024</c:v>
                </c:pt>
                <c:pt idx="2">
                  <c:v>Mar_2024</c:v>
                </c:pt>
                <c:pt idx="3">
                  <c:v>Apr_2024</c:v>
                </c:pt>
                <c:pt idx="4">
                  <c:v>May_2024</c:v>
                </c:pt>
                <c:pt idx="5">
                  <c:v>June_2024</c:v>
                </c:pt>
                <c:pt idx="6">
                  <c:v>July_2024</c:v>
                </c:pt>
                <c:pt idx="7">
                  <c:v>Aug_2024</c:v>
                </c:pt>
                <c:pt idx="8">
                  <c:v>Sep_2024</c:v>
                </c:pt>
                <c:pt idx="9">
                  <c:v>Oct_2024</c:v>
                </c:pt>
                <c:pt idx="10">
                  <c:v>Nov_2024</c:v>
                </c:pt>
                <c:pt idx="11">
                  <c:v>Dec_2024</c:v>
                </c:pt>
              </c:strCache>
            </c:strRef>
          </c:cat>
          <c:val>
            <c:numRef>
              <c:f>'Waste Data &amp; Service Charg'!$C$7:$N$7</c:f>
              <c:numCache>
                <c:formatCode>_(* #,##0.00_);_(* \(#,##0.00\);_(* "-"??_);_(@_)</c:formatCode>
                <c:ptCount val="12"/>
                <c:pt idx="0">
                  <c:v>3172.6</c:v>
                </c:pt>
                <c:pt idx="1">
                  <c:v>2640.4</c:v>
                </c:pt>
                <c:pt idx="2">
                  <c:v>3046.4999999999995</c:v>
                </c:pt>
                <c:pt idx="3">
                  <c:v>2810.2</c:v>
                </c:pt>
                <c:pt idx="4" formatCode="#,##0.00">
                  <c:v>2966.7</c:v>
                </c:pt>
                <c:pt idx="5" formatCode="#,##0.00">
                  <c:v>2864.9000000000005</c:v>
                </c:pt>
                <c:pt idx="6" formatCode="#,##0.00">
                  <c:v>3271.2000000000003</c:v>
                </c:pt>
                <c:pt idx="7">
                  <c:v>3129.9</c:v>
                </c:pt>
                <c:pt idx="8">
                  <c:v>2501.5</c:v>
                </c:pt>
                <c:pt idx="9">
                  <c:v>3199.3</c:v>
                </c:pt>
                <c:pt idx="10">
                  <c:v>3222.6000000000004</c:v>
                </c:pt>
                <c:pt idx="11">
                  <c:v>3541.7999999999997</c:v>
                </c:pt>
              </c:numCache>
            </c:numRef>
          </c:val>
          <c:smooth val="0"/>
        </c:ser>
        <c:ser>
          <c:idx val="4"/>
          <c:order val="4"/>
          <c:tx>
            <c:strRef>
              <c:f>'Waste Data &amp; Service Charg'!$B$8</c:f>
              <c:strCache>
                <c:ptCount val="1"/>
                <c:pt idx="0">
                  <c:v>Sri J,puraKotte M.C.</c:v>
                </c:pt>
              </c:strCache>
            </c:strRef>
          </c:tx>
          <c:cat>
            <c:strRef>
              <c:f>'Waste Data &amp; Service Charg'!$C$3:$N$3</c:f>
              <c:strCache>
                <c:ptCount val="12"/>
                <c:pt idx="0">
                  <c:v>Jan_2024</c:v>
                </c:pt>
                <c:pt idx="1">
                  <c:v>Feb_2024</c:v>
                </c:pt>
                <c:pt idx="2">
                  <c:v>Mar_2024</c:v>
                </c:pt>
                <c:pt idx="3">
                  <c:v>Apr_2024</c:v>
                </c:pt>
                <c:pt idx="4">
                  <c:v>May_2024</c:v>
                </c:pt>
                <c:pt idx="5">
                  <c:v>June_2024</c:v>
                </c:pt>
                <c:pt idx="6">
                  <c:v>July_2024</c:v>
                </c:pt>
                <c:pt idx="7">
                  <c:v>Aug_2024</c:v>
                </c:pt>
                <c:pt idx="8">
                  <c:v>Sep_2024</c:v>
                </c:pt>
                <c:pt idx="9">
                  <c:v>Oct_2024</c:v>
                </c:pt>
                <c:pt idx="10">
                  <c:v>Nov_2024</c:v>
                </c:pt>
                <c:pt idx="11">
                  <c:v>Dec_2024</c:v>
                </c:pt>
              </c:strCache>
            </c:strRef>
          </c:cat>
          <c:val>
            <c:numRef>
              <c:f>'Waste Data &amp; Service Charg'!$C$8:$N$8</c:f>
              <c:numCache>
                <c:formatCode>_(* #,##0.00_);_(* \(#,##0.00\);_(* "-"??_);_(@_)</c:formatCode>
                <c:ptCount val="12"/>
                <c:pt idx="0">
                  <c:v>433.80000000000007</c:v>
                </c:pt>
                <c:pt idx="1">
                  <c:v>402.3</c:v>
                </c:pt>
                <c:pt idx="2">
                  <c:v>443.1</c:v>
                </c:pt>
                <c:pt idx="3">
                  <c:v>451.20000000000005</c:v>
                </c:pt>
                <c:pt idx="4" formatCode="General">
                  <c:v>446.4</c:v>
                </c:pt>
                <c:pt idx="5" formatCode="General">
                  <c:v>478</c:v>
                </c:pt>
                <c:pt idx="6" formatCode="General">
                  <c:v>685.69999999999993</c:v>
                </c:pt>
                <c:pt idx="7">
                  <c:v>995.40000000000009</c:v>
                </c:pt>
                <c:pt idx="8">
                  <c:v>982.6</c:v>
                </c:pt>
                <c:pt idx="9">
                  <c:v>1130.9000000000001</c:v>
                </c:pt>
                <c:pt idx="10">
                  <c:v>1090.4000000000001</c:v>
                </c:pt>
                <c:pt idx="11">
                  <c:v>1310.0999999999999</c:v>
                </c:pt>
              </c:numCache>
            </c:numRef>
          </c:val>
          <c:smooth val="0"/>
        </c:ser>
        <c:ser>
          <c:idx val="5"/>
          <c:order val="5"/>
          <c:tx>
            <c:strRef>
              <c:f>'Waste Data &amp; Service Charg'!$B$9</c:f>
              <c:strCache>
                <c:ptCount val="1"/>
                <c:pt idx="0">
                  <c:v>Maharagama U.C.</c:v>
                </c:pt>
              </c:strCache>
            </c:strRef>
          </c:tx>
          <c:cat>
            <c:strRef>
              <c:f>'Waste Data &amp; Service Charg'!$C$3:$N$3</c:f>
              <c:strCache>
                <c:ptCount val="12"/>
                <c:pt idx="0">
                  <c:v>Jan_2024</c:v>
                </c:pt>
                <c:pt idx="1">
                  <c:v>Feb_2024</c:v>
                </c:pt>
                <c:pt idx="2">
                  <c:v>Mar_2024</c:v>
                </c:pt>
                <c:pt idx="3">
                  <c:v>Apr_2024</c:v>
                </c:pt>
                <c:pt idx="4">
                  <c:v>May_2024</c:v>
                </c:pt>
                <c:pt idx="5">
                  <c:v>June_2024</c:v>
                </c:pt>
                <c:pt idx="6">
                  <c:v>July_2024</c:v>
                </c:pt>
                <c:pt idx="7">
                  <c:v>Aug_2024</c:v>
                </c:pt>
                <c:pt idx="8">
                  <c:v>Sep_2024</c:v>
                </c:pt>
                <c:pt idx="9">
                  <c:v>Oct_2024</c:v>
                </c:pt>
                <c:pt idx="10">
                  <c:v>Nov_2024</c:v>
                </c:pt>
                <c:pt idx="11">
                  <c:v>Dec_2024</c:v>
                </c:pt>
              </c:strCache>
            </c:strRef>
          </c:cat>
          <c:val>
            <c:numRef>
              <c:f>'Waste Data &amp; Service Charg'!$C$9:$N$9</c:f>
              <c:numCache>
                <c:formatCode>_(* #,##0.00_);_(* \(#,##0.00\);_(* "-"??_);_(@_)</c:formatCode>
                <c:ptCount val="12"/>
                <c:pt idx="0">
                  <c:v>2143.8000000000002</c:v>
                </c:pt>
                <c:pt idx="1">
                  <c:v>982.09999999999991</c:v>
                </c:pt>
                <c:pt idx="2">
                  <c:v>1585.2</c:v>
                </c:pt>
                <c:pt idx="3">
                  <c:v>1619.1000000000001</c:v>
                </c:pt>
                <c:pt idx="4" formatCode="#,##0.00">
                  <c:v>1250.5</c:v>
                </c:pt>
                <c:pt idx="5" formatCode="#,##0.00">
                  <c:v>2113.3000000000002</c:v>
                </c:pt>
                <c:pt idx="6" formatCode="#,##0.00">
                  <c:v>2498.1</c:v>
                </c:pt>
                <c:pt idx="7">
                  <c:v>2169.6</c:v>
                </c:pt>
                <c:pt idx="8">
                  <c:v>2043.1999999999998</c:v>
                </c:pt>
                <c:pt idx="9">
                  <c:v>2523.1</c:v>
                </c:pt>
                <c:pt idx="10">
                  <c:v>2271.0999999999995</c:v>
                </c:pt>
                <c:pt idx="11">
                  <c:v>2703</c:v>
                </c:pt>
              </c:numCache>
            </c:numRef>
          </c:val>
          <c:smooth val="0"/>
        </c:ser>
        <c:ser>
          <c:idx val="6"/>
          <c:order val="6"/>
          <c:tx>
            <c:strRef>
              <c:f>'Waste Data &amp; Service Charg'!$B$10</c:f>
              <c:strCache>
                <c:ptCount val="1"/>
                <c:pt idx="0">
                  <c:v>Homagama P.S.</c:v>
                </c:pt>
              </c:strCache>
            </c:strRef>
          </c:tx>
          <c:cat>
            <c:strRef>
              <c:f>'Waste Data &amp; Service Charg'!$C$3:$N$3</c:f>
              <c:strCache>
                <c:ptCount val="12"/>
                <c:pt idx="0">
                  <c:v>Jan_2024</c:v>
                </c:pt>
                <c:pt idx="1">
                  <c:v>Feb_2024</c:v>
                </c:pt>
                <c:pt idx="2">
                  <c:v>Mar_2024</c:v>
                </c:pt>
                <c:pt idx="3">
                  <c:v>Apr_2024</c:v>
                </c:pt>
                <c:pt idx="4">
                  <c:v>May_2024</c:v>
                </c:pt>
                <c:pt idx="5">
                  <c:v>June_2024</c:v>
                </c:pt>
                <c:pt idx="6">
                  <c:v>July_2024</c:v>
                </c:pt>
                <c:pt idx="7">
                  <c:v>Aug_2024</c:v>
                </c:pt>
                <c:pt idx="8">
                  <c:v>Sep_2024</c:v>
                </c:pt>
                <c:pt idx="9">
                  <c:v>Oct_2024</c:v>
                </c:pt>
                <c:pt idx="10">
                  <c:v>Nov_2024</c:v>
                </c:pt>
                <c:pt idx="11">
                  <c:v>Dec_2024</c:v>
                </c:pt>
              </c:strCache>
            </c:strRef>
          </c:cat>
          <c:val>
            <c:numRef>
              <c:f>'Waste Data &amp; Service Charg'!$C$10:$N$10</c:f>
              <c:numCache>
                <c:formatCode>_(* #,##0.00_);_(* \(#,##0.00\);_(* "-"??_);_(@_)</c:formatCode>
                <c:ptCount val="12"/>
                <c:pt idx="0">
                  <c:v>695.9</c:v>
                </c:pt>
                <c:pt idx="1">
                  <c:v>590.70000000000005</c:v>
                </c:pt>
                <c:pt idx="2">
                  <c:v>647.9</c:v>
                </c:pt>
                <c:pt idx="3">
                  <c:v>948.8</c:v>
                </c:pt>
                <c:pt idx="4" formatCode="#,##0.00">
                  <c:v>1116.0999999999999</c:v>
                </c:pt>
                <c:pt idx="5" formatCode="#,##0.00">
                  <c:v>752</c:v>
                </c:pt>
                <c:pt idx="6" formatCode="#,##0.00">
                  <c:v>803.6</c:v>
                </c:pt>
                <c:pt idx="7">
                  <c:v>732.3</c:v>
                </c:pt>
                <c:pt idx="8">
                  <c:v>656.7</c:v>
                </c:pt>
                <c:pt idx="9">
                  <c:v>850.6</c:v>
                </c:pt>
                <c:pt idx="10">
                  <c:v>827.7</c:v>
                </c:pt>
                <c:pt idx="11">
                  <c:v>825.4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5929088"/>
        <c:axId val="147225920"/>
      </c:lineChart>
      <c:catAx>
        <c:axId val="195929088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txPr>
          <a:bodyPr/>
          <a:lstStyle/>
          <a:p>
            <a:pPr>
              <a:defRPr lang="en-US"/>
            </a:pPr>
            <a:endParaRPr lang="en-US"/>
          </a:p>
        </c:txPr>
        <c:crossAx val="147225920"/>
        <c:crosses val="autoZero"/>
        <c:auto val="1"/>
        <c:lblAlgn val="ctr"/>
        <c:lblOffset val="100"/>
        <c:noMultiLvlLbl val="0"/>
      </c:catAx>
      <c:valAx>
        <c:axId val="147225920"/>
        <c:scaling>
          <c:orientation val="minMax"/>
        </c:scaling>
        <c:delete val="0"/>
        <c:axPos val="l"/>
        <c:majorGridlines/>
        <c:numFmt formatCode="_(* #,##0.00_);_(* \(#,##0.00\);_(* &quot;-&quot;??_);_(@_)" sourceLinked="1"/>
        <c:majorTickMark val="out"/>
        <c:minorTickMark val="none"/>
        <c:tickLblPos val="nextTo"/>
        <c:txPr>
          <a:bodyPr/>
          <a:lstStyle/>
          <a:p>
            <a:pPr>
              <a:defRPr lang="en-US"/>
            </a:pPr>
            <a:endParaRPr lang="en-US"/>
          </a:p>
        </c:txPr>
        <c:crossAx val="195929088"/>
        <c:crosses val="autoZero"/>
        <c:crossBetween val="between"/>
      </c:valAx>
    </c:plotArea>
    <c:legend>
      <c:legendPos val="r"/>
      <c:layout/>
      <c:overlay val="0"/>
      <c:txPr>
        <a:bodyPr/>
        <a:lstStyle/>
        <a:p>
          <a:pPr>
            <a:defRPr lang="en-US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00000000000111" l="0.70000000000000062" r="0.70000000000000062" t="0.7500000000000111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marL="0" marR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lang="en-GB" sz="18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sz="1800" b="1" i="0" baseline="0"/>
              <a:t>Waste Categories Vs Monthly waste intake </a:t>
            </a:r>
            <a:endParaRPr lang="en-GB" sz="1800" b="1" i="0" baseline="0"/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'Waste Data &amp; Service Charg'!$B$19</c:f>
              <c:strCache>
                <c:ptCount val="1"/>
                <c:pt idx="0">
                  <c:v>Unburnable</c:v>
                </c:pt>
              </c:strCache>
            </c:strRef>
          </c:tx>
          <c:cat>
            <c:strRef>
              <c:f>'Waste Data &amp; Service Charg'!$C$18:$N$18</c:f>
              <c:strCache>
                <c:ptCount val="12"/>
                <c:pt idx="0">
                  <c:v>Jan_2024</c:v>
                </c:pt>
                <c:pt idx="1">
                  <c:v>Feb_2024</c:v>
                </c:pt>
                <c:pt idx="2">
                  <c:v>Mar_2024</c:v>
                </c:pt>
                <c:pt idx="3">
                  <c:v>Apr_2024</c:v>
                </c:pt>
                <c:pt idx="4">
                  <c:v>May_2024</c:v>
                </c:pt>
                <c:pt idx="5">
                  <c:v>June_2024</c:v>
                </c:pt>
                <c:pt idx="6">
                  <c:v>July_2024</c:v>
                </c:pt>
                <c:pt idx="7">
                  <c:v>Aug_2024</c:v>
                </c:pt>
                <c:pt idx="8">
                  <c:v>Sep_2024</c:v>
                </c:pt>
                <c:pt idx="9">
                  <c:v>Oct_2024</c:v>
                </c:pt>
                <c:pt idx="10">
                  <c:v>Nov_2024</c:v>
                </c:pt>
                <c:pt idx="11">
                  <c:v>Dec_2024</c:v>
                </c:pt>
              </c:strCache>
            </c:strRef>
          </c:cat>
          <c:val>
            <c:numRef>
              <c:f>'Waste Data &amp; Service Charg'!$C$19:$N$19</c:f>
              <c:numCache>
                <c:formatCode>General</c:formatCode>
                <c:ptCount val="12"/>
                <c:pt idx="0">
                  <c:v>112.60000000000002</c:v>
                </c:pt>
                <c:pt idx="1">
                  <c:v>103.1</c:v>
                </c:pt>
                <c:pt idx="2">
                  <c:v>68.5</c:v>
                </c:pt>
                <c:pt idx="3" formatCode="_(* #,##0.00_);_(* \(#,##0.00\);_(* &quot;-&quot;??_);_(@_)">
                  <c:v>70.2</c:v>
                </c:pt>
                <c:pt idx="4" formatCode="_(* #,##0.00_);_(* \(#,##0.00\);_(* &quot;-&quot;??_);_(@_)">
                  <c:v>78.7</c:v>
                </c:pt>
                <c:pt idx="5">
                  <c:v>74.5</c:v>
                </c:pt>
                <c:pt idx="6">
                  <c:v>53.5</c:v>
                </c:pt>
                <c:pt idx="7" formatCode="_(* #,##0.00_);_(* \(#,##0.00\);_(* &quot;-&quot;??_);_(@_)">
                  <c:v>124.39999999999999</c:v>
                </c:pt>
                <c:pt idx="8" formatCode="_(* #,##0.00_);_(* \(#,##0.00\);_(* &quot;-&quot;??_);_(@_)">
                  <c:v>203.3</c:v>
                </c:pt>
                <c:pt idx="9" formatCode="_(* #,##0.00_);_(* \(#,##0.00\);_(* &quot;-&quot;??_);_(@_)">
                  <c:v>297.2</c:v>
                </c:pt>
                <c:pt idx="10" formatCode="_(* #,##0.00_);_(* \(#,##0.00\);_(* &quot;-&quot;??_);_(@_)">
                  <c:v>610.20000000000005</c:v>
                </c:pt>
                <c:pt idx="11" formatCode="_(* #,##0.00_);_(* \(#,##0.00\);_(* &quot;-&quot;??_);_(@_)">
                  <c:v>809.8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'Waste Data &amp; Service Charg'!$B$20</c:f>
              <c:strCache>
                <c:ptCount val="1"/>
                <c:pt idx="0">
                  <c:v>SOW</c:v>
                </c:pt>
              </c:strCache>
            </c:strRef>
          </c:tx>
          <c:cat>
            <c:strRef>
              <c:f>'Waste Data &amp; Service Charg'!$C$18:$N$18</c:f>
              <c:strCache>
                <c:ptCount val="12"/>
                <c:pt idx="0">
                  <c:v>Jan_2024</c:v>
                </c:pt>
                <c:pt idx="1">
                  <c:v>Feb_2024</c:v>
                </c:pt>
                <c:pt idx="2">
                  <c:v>Mar_2024</c:v>
                </c:pt>
                <c:pt idx="3">
                  <c:v>Apr_2024</c:v>
                </c:pt>
                <c:pt idx="4">
                  <c:v>May_2024</c:v>
                </c:pt>
                <c:pt idx="5">
                  <c:v>June_2024</c:v>
                </c:pt>
                <c:pt idx="6">
                  <c:v>July_2024</c:v>
                </c:pt>
                <c:pt idx="7">
                  <c:v>Aug_2024</c:v>
                </c:pt>
                <c:pt idx="8">
                  <c:v>Sep_2024</c:v>
                </c:pt>
                <c:pt idx="9">
                  <c:v>Oct_2024</c:v>
                </c:pt>
                <c:pt idx="10">
                  <c:v>Nov_2024</c:v>
                </c:pt>
                <c:pt idx="11">
                  <c:v>Dec_2024</c:v>
                </c:pt>
              </c:strCache>
            </c:strRef>
          </c:cat>
          <c:val>
            <c:numRef>
              <c:f>'Waste Data &amp; Service Charg'!$C$20:$N$20</c:f>
              <c:numCache>
                <c:formatCode>General</c:formatCode>
                <c:ptCount val="12"/>
                <c:pt idx="0">
                  <c:v>5684.0999999999995</c:v>
                </c:pt>
                <c:pt idx="1">
                  <c:v>4938.7</c:v>
                </c:pt>
                <c:pt idx="2">
                  <c:v>5551.8</c:v>
                </c:pt>
                <c:pt idx="3" formatCode="_(* #,##0.00_);_(* \(#,##0.00\);_(* &quot;-&quot;??_);_(@_)">
                  <c:v>5761.0999999999995</c:v>
                </c:pt>
                <c:pt idx="4" formatCode="_(* #,##0.00_);_(* \(#,##0.00\);_(* &quot;-&quot;??_);_(@_)">
                  <c:v>6566.2</c:v>
                </c:pt>
                <c:pt idx="5">
                  <c:v>5701.5000000000009</c:v>
                </c:pt>
                <c:pt idx="6">
                  <c:v>6354.7999999999993</c:v>
                </c:pt>
                <c:pt idx="7" formatCode="_(* #,##0.00_);_(* \(#,##0.00\);_(* &quot;-&quot;??_);_(@_)">
                  <c:v>5762</c:v>
                </c:pt>
                <c:pt idx="8" formatCode="_(* #,##0.00_);_(* \(#,##0.00\);_(* &quot;-&quot;??_);_(@_)">
                  <c:v>4894.8999999999996</c:v>
                </c:pt>
                <c:pt idx="9" formatCode="_(* #,##0.00_);_(* \(#,##0.00\);_(* &quot;-&quot;??_);_(@_)">
                  <c:v>5896.6</c:v>
                </c:pt>
                <c:pt idx="10" formatCode="_(* #,##0.00_);_(* \(#,##0.00\);_(* &quot;-&quot;??_);_(@_)">
                  <c:v>6663.7</c:v>
                </c:pt>
                <c:pt idx="11" formatCode="_(* #,##0.00_);_(* \(#,##0.00\);_(* &quot;-&quot;??_);_(@_)">
                  <c:v>7033.5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'Waste Data &amp; Service Charg'!$B$21</c:f>
              <c:strCache>
                <c:ptCount val="1"/>
                <c:pt idx="0">
                  <c:v>Burnable</c:v>
                </c:pt>
              </c:strCache>
            </c:strRef>
          </c:tx>
          <c:cat>
            <c:strRef>
              <c:f>'Waste Data &amp; Service Charg'!$C$18:$N$18</c:f>
              <c:strCache>
                <c:ptCount val="12"/>
                <c:pt idx="0">
                  <c:v>Jan_2024</c:v>
                </c:pt>
                <c:pt idx="1">
                  <c:v>Feb_2024</c:v>
                </c:pt>
                <c:pt idx="2">
                  <c:v>Mar_2024</c:v>
                </c:pt>
                <c:pt idx="3">
                  <c:v>Apr_2024</c:v>
                </c:pt>
                <c:pt idx="4">
                  <c:v>May_2024</c:v>
                </c:pt>
                <c:pt idx="5">
                  <c:v>June_2024</c:v>
                </c:pt>
                <c:pt idx="6">
                  <c:v>July_2024</c:v>
                </c:pt>
                <c:pt idx="7">
                  <c:v>Aug_2024</c:v>
                </c:pt>
                <c:pt idx="8">
                  <c:v>Sep_2024</c:v>
                </c:pt>
                <c:pt idx="9">
                  <c:v>Oct_2024</c:v>
                </c:pt>
                <c:pt idx="10">
                  <c:v>Nov_2024</c:v>
                </c:pt>
                <c:pt idx="11">
                  <c:v>Dec_2024</c:v>
                </c:pt>
              </c:strCache>
            </c:strRef>
          </c:cat>
          <c:val>
            <c:numRef>
              <c:f>'Waste Data &amp; Service Charg'!$C$21:$N$21</c:f>
              <c:numCache>
                <c:formatCode>General</c:formatCode>
                <c:ptCount val="12"/>
                <c:pt idx="0">
                  <c:v>4258.1000000000004</c:v>
                </c:pt>
                <c:pt idx="1">
                  <c:v>2660.1</c:v>
                </c:pt>
                <c:pt idx="2">
                  <c:v>3504.5</c:v>
                </c:pt>
                <c:pt idx="3" formatCode="_(* #,##0.00_);_(* \(#,##0.00\);_(* &quot;-&quot;??_);_(@_)">
                  <c:v>3528.7</c:v>
                </c:pt>
                <c:pt idx="4" formatCode="_(* #,##0.00_);_(* \(#,##0.00\);_(* &quot;-&quot;??_);_(@_)">
                  <c:v>2931.7</c:v>
                </c:pt>
                <c:pt idx="5">
                  <c:v>3854.2999999999997</c:v>
                </c:pt>
                <c:pt idx="6">
                  <c:v>4738.6000000000004</c:v>
                </c:pt>
                <c:pt idx="7" formatCode="_(* #,##0.00_);_(* \(#,##0.00\);_(* &quot;-&quot;??_);_(@_)">
                  <c:v>4680.3999999999996</c:v>
                </c:pt>
                <c:pt idx="8" formatCode="_(* #,##0.00_);_(* \(#,##0.00\);_(* &quot;-&quot;??_);_(@_)">
                  <c:v>4426.0000000000009</c:v>
                </c:pt>
                <c:pt idx="9" formatCode="_(* #,##0.00_);_(* \(#,##0.00\);_(* &quot;-&quot;??_);_(@_)">
                  <c:v>5458.2000000000007</c:v>
                </c:pt>
                <c:pt idx="10" formatCode="_(* #,##0.00_);_(* \(#,##0.00\);_(* &quot;-&quot;??_);_(@_)">
                  <c:v>3972.8999999999996</c:v>
                </c:pt>
                <c:pt idx="11" formatCode="_(* #,##0.00_);_(* \(#,##0.00\);_(* &quot;-&quot;??_);_(@_)">
                  <c:v>4535.3999999999996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'Waste Data &amp; Service Charg'!$B$22</c:f>
              <c:strCache>
                <c:ptCount val="1"/>
                <c:pt idx="0">
                  <c:v>Bulky Waste</c:v>
                </c:pt>
              </c:strCache>
            </c:strRef>
          </c:tx>
          <c:cat>
            <c:strRef>
              <c:f>'Waste Data &amp; Service Charg'!$C$18:$N$18</c:f>
              <c:strCache>
                <c:ptCount val="12"/>
                <c:pt idx="0">
                  <c:v>Jan_2024</c:v>
                </c:pt>
                <c:pt idx="1">
                  <c:v>Feb_2024</c:v>
                </c:pt>
                <c:pt idx="2">
                  <c:v>Mar_2024</c:v>
                </c:pt>
                <c:pt idx="3">
                  <c:v>Apr_2024</c:v>
                </c:pt>
                <c:pt idx="4">
                  <c:v>May_2024</c:v>
                </c:pt>
                <c:pt idx="5">
                  <c:v>June_2024</c:v>
                </c:pt>
                <c:pt idx="6">
                  <c:v>July_2024</c:v>
                </c:pt>
                <c:pt idx="7">
                  <c:v>Aug_2024</c:v>
                </c:pt>
                <c:pt idx="8">
                  <c:v>Sep_2024</c:v>
                </c:pt>
                <c:pt idx="9">
                  <c:v>Oct_2024</c:v>
                </c:pt>
                <c:pt idx="10">
                  <c:v>Nov_2024</c:v>
                </c:pt>
                <c:pt idx="11">
                  <c:v>Dec_2024</c:v>
                </c:pt>
              </c:strCache>
            </c:strRef>
          </c:cat>
          <c:val>
            <c:numRef>
              <c:f>'Waste Data &amp; Service Charg'!$C$22:$N$22</c:f>
              <c:numCache>
                <c:formatCode>General</c:formatCode>
                <c:ptCount val="12"/>
                <c:pt idx="0">
                  <c:v>369</c:v>
                </c:pt>
                <c:pt idx="1">
                  <c:v>285.3</c:v>
                </c:pt>
                <c:pt idx="2">
                  <c:v>322.99999999999994</c:v>
                </c:pt>
                <c:pt idx="3" formatCode="_(* #,##0.00_);_(* \(#,##0.00\);_(* &quot;-&quot;??_);_(@_)">
                  <c:v>399.7</c:v>
                </c:pt>
                <c:pt idx="4" formatCode="_(* #,##0.00_);_(* \(#,##0.00\);_(* &quot;-&quot;??_);_(@_)">
                  <c:v>400.4</c:v>
                </c:pt>
                <c:pt idx="5">
                  <c:v>567.4</c:v>
                </c:pt>
                <c:pt idx="6">
                  <c:v>524.40000000000009</c:v>
                </c:pt>
                <c:pt idx="7" formatCode="_(* #,##0.00_);_(* \(#,##0.00\);_(* &quot;-&quot;??_);_(@_)">
                  <c:v>388.9</c:v>
                </c:pt>
                <c:pt idx="8" formatCode="_(* #,##0.00_);_(* \(#,##0.00\);_(* &quot;-&quot;??_);_(@_)">
                  <c:v>219.6</c:v>
                </c:pt>
                <c:pt idx="9" formatCode="_(* #,##0.00_);_(* \(#,##0.00\);_(* &quot;-&quot;??_);_(@_)">
                  <c:v>246.10000000000002</c:v>
                </c:pt>
                <c:pt idx="10" formatCode="_(* #,##0.00_);_(* \(#,##0.00\);_(* &quot;-&quot;??_);_(@_)">
                  <c:v>368.5</c:v>
                </c:pt>
                <c:pt idx="11" formatCode="_(* #,##0.00_);_(* \(#,##0.00\);_(* &quot;-&quot;??_);_(@_)">
                  <c:v>485.8</c:v>
                </c:pt>
              </c:numCache>
            </c:numRef>
          </c:val>
          <c:smooth val="0"/>
        </c:ser>
        <c:ser>
          <c:idx val="4"/>
          <c:order val="4"/>
          <c:tx>
            <c:strRef>
              <c:f>'Waste Data &amp; Service Charg'!$B$23</c:f>
              <c:strCache>
                <c:ptCount val="1"/>
                <c:pt idx="0">
                  <c:v>Industrial Waste</c:v>
                </c:pt>
              </c:strCache>
            </c:strRef>
          </c:tx>
          <c:cat>
            <c:strRef>
              <c:f>'Waste Data &amp; Service Charg'!$C$18:$N$18</c:f>
              <c:strCache>
                <c:ptCount val="12"/>
                <c:pt idx="0">
                  <c:v>Jan_2024</c:v>
                </c:pt>
                <c:pt idx="1">
                  <c:v>Feb_2024</c:v>
                </c:pt>
                <c:pt idx="2">
                  <c:v>Mar_2024</c:v>
                </c:pt>
                <c:pt idx="3">
                  <c:v>Apr_2024</c:v>
                </c:pt>
                <c:pt idx="4">
                  <c:v>May_2024</c:v>
                </c:pt>
                <c:pt idx="5">
                  <c:v>June_2024</c:v>
                </c:pt>
                <c:pt idx="6">
                  <c:v>July_2024</c:v>
                </c:pt>
                <c:pt idx="7">
                  <c:v>Aug_2024</c:v>
                </c:pt>
                <c:pt idx="8">
                  <c:v>Sep_2024</c:v>
                </c:pt>
                <c:pt idx="9">
                  <c:v>Oct_2024</c:v>
                </c:pt>
                <c:pt idx="10">
                  <c:v>Nov_2024</c:v>
                </c:pt>
                <c:pt idx="11">
                  <c:v>Dec_2024</c:v>
                </c:pt>
              </c:strCache>
            </c:strRef>
          </c:cat>
          <c:val>
            <c:numRef>
              <c:f>'Waste Data &amp; Service Charg'!$C$23:$N$23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</c:ser>
        <c:ser>
          <c:idx val="5"/>
          <c:order val="5"/>
          <c:tx>
            <c:strRef>
              <c:f>'Waste Data &amp; Service Charg'!$B$24</c:f>
              <c:strCache>
                <c:ptCount val="1"/>
                <c:pt idx="0">
                  <c:v>Slaughter House Waste</c:v>
                </c:pt>
              </c:strCache>
            </c:strRef>
          </c:tx>
          <c:cat>
            <c:strRef>
              <c:f>'Waste Data &amp; Service Charg'!$C$18:$N$18</c:f>
              <c:strCache>
                <c:ptCount val="12"/>
                <c:pt idx="0">
                  <c:v>Jan_2024</c:v>
                </c:pt>
                <c:pt idx="1">
                  <c:v>Feb_2024</c:v>
                </c:pt>
                <c:pt idx="2">
                  <c:v>Mar_2024</c:v>
                </c:pt>
                <c:pt idx="3">
                  <c:v>Apr_2024</c:v>
                </c:pt>
                <c:pt idx="4">
                  <c:v>May_2024</c:v>
                </c:pt>
                <c:pt idx="5">
                  <c:v>June_2024</c:v>
                </c:pt>
                <c:pt idx="6">
                  <c:v>July_2024</c:v>
                </c:pt>
                <c:pt idx="7">
                  <c:v>Aug_2024</c:v>
                </c:pt>
                <c:pt idx="8">
                  <c:v>Sep_2024</c:v>
                </c:pt>
                <c:pt idx="9">
                  <c:v>Oct_2024</c:v>
                </c:pt>
                <c:pt idx="10">
                  <c:v>Nov_2024</c:v>
                </c:pt>
                <c:pt idx="11">
                  <c:v>Dec_2024</c:v>
                </c:pt>
              </c:strCache>
            </c:strRef>
          </c:cat>
          <c:val>
            <c:numRef>
              <c:f>'Waste Data &amp; Service Charg'!$C$24:$N$24</c:f>
              <c:numCache>
                <c:formatCode>General</c:formatCode>
                <c:ptCount val="12"/>
                <c:pt idx="0">
                  <c:v>79.3</c:v>
                </c:pt>
                <c:pt idx="1">
                  <c:v>98.2</c:v>
                </c:pt>
                <c:pt idx="2">
                  <c:v>74.099999999999994</c:v>
                </c:pt>
                <c:pt idx="3" formatCode="_(* #,##0.00_);_(* \(#,##0.00\);_(* &quot;-&quot;??_);_(@_)">
                  <c:v>93.600000000000009</c:v>
                </c:pt>
                <c:pt idx="4" formatCode="_(* #,##0.00_);_(* \(#,##0.00\);_(* &quot;-&quot;??_);_(@_)">
                  <c:v>102.5</c:v>
                </c:pt>
                <c:pt idx="5">
                  <c:v>87.2</c:v>
                </c:pt>
                <c:pt idx="6">
                  <c:v>119.39999999999999</c:v>
                </c:pt>
                <c:pt idx="7" formatCode="_(* #,##0.00_);_(* \(#,##0.00\);_(* &quot;-&quot;??_);_(@_)">
                  <c:v>115.7</c:v>
                </c:pt>
                <c:pt idx="8" formatCode="_(* #,##0.00_);_(* \(#,##0.00\);_(* &quot;-&quot;??_);_(@_)">
                  <c:v>109</c:v>
                </c:pt>
                <c:pt idx="9" formatCode="_(* #,##0.00_);_(* \(#,##0.00\);_(* &quot;-&quot;??_);_(@_)">
                  <c:v>127</c:v>
                </c:pt>
                <c:pt idx="10">
                  <c:v>147.80000000000001</c:v>
                </c:pt>
                <c:pt idx="11">
                  <c:v>178.60000000000002</c:v>
                </c:pt>
              </c:numCache>
            </c:numRef>
          </c:val>
          <c:smooth val="0"/>
        </c:ser>
        <c:ser>
          <c:idx val="6"/>
          <c:order val="6"/>
          <c:tx>
            <c:strRef>
              <c:f>'Waste Data &amp; Service Charg'!$B$25</c:f>
              <c:strCache>
                <c:ptCount val="1"/>
                <c:pt idx="0">
                  <c:v>Sanitary Waste</c:v>
                </c:pt>
              </c:strCache>
            </c:strRef>
          </c:tx>
          <c:cat>
            <c:strRef>
              <c:f>'Waste Data &amp; Service Charg'!$C$18:$N$18</c:f>
              <c:strCache>
                <c:ptCount val="12"/>
                <c:pt idx="0">
                  <c:v>Jan_2024</c:v>
                </c:pt>
                <c:pt idx="1">
                  <c:v>Feb_2024</c:v>
                </c:pt>
                <c:pt idx="2">
                  <c:v>Mar_2024</c:v>
                </c:pt>
                <c:pt idx="3">
                  <c:v>Apr_2024</c:v>
                </c:pt>
                <c:pt idx="4">
                  <c:v>May_2024</c:v>
                </c:pt>
                <c:pt idx="5">
                  <c:v>June_2024</c:v>
                </c:pt>
                <c:pt idx="6">
                  <c:v>July_2024</c:v>
                </c:pt>
                <c:pt idx="7">
                  <c:v>Aug_2024</c:v>
                </c:pt>
                <c:pt idx="8">
                  <c:v>Sep_2024</c:v>
                </c:pt>
                <c:pt idx="9">
                  <c:v>Oct_2024</c:v>
                </c:pt>
                <c:pt idx="10">
                  <c:v>Nov_2024</c:v>
                </c:pt>
                <c:pt idx="11">
                  <c:v>Dec_2024</c:v>
                </c:pt>
              </c:strCache>
            </c:strRef>
          </c:cat>
          <c:val>
            <c:numRef>
              <c:f>'Waste Data &amp; Service Charg'!$C$25:$N$25</c:f>
              <c:numCache>
                <c:formatCode>General</c:formatCode>
                <c:ptCount val="12"/>
                <c:pt idx="0">
                  <c:v>6.8</c:v>
                </c:pt>
                <c:pt idx="1">
                  <c:v>8.1</c:v>
                </c:pt>
                <c:pt idx="2">
                  <c:v>8.6999999999999993</c:v>
                </c:pt>
                <c:pt idx="3" formatCode="_(* #,##0.00_);_(* \(#,##0.00\);_(* &quot;-&quot;??_);_(@_)">
                  <c:v>6.3</c:v>
                </c:pt>
                <c:pt idx="4" formatCode="_(* #,##0.00_);_(* \(#,##0.00\);_(* &quot;-&quot;??_);_(@_)">
                  <c:v>6.9</c:v>
                </c:pt>
                <c:pt idx="5">
                  <c:v>6.3</c:v>
                </c:pt>
                <c:pt idx="6">
                  <c:v>8.5</c:v>
                </c:pt>
                <c:pt idx="7" formatCode="_(* #,##0.00_);_(* \(#,##0.00\);_(* &quot;-&quot;??_);_(@_)">
                  <c:v>8.6999999999999993</c:v>
                </c:pt>
                <c:pt idx="8" formatCode="_(* #,##0.00_);_(* \(#,##0.00\);_(* &quot;-&quot;??_);_(@_)">
                  <c:v>7.2</c:v>
                </c:pt>
                <c:pt idx="9" formatCode="_(* #,##0.00_);_(* \(#,##0.00\);_(* &quot;-&quot;??_);_(@_)">
                  <c:v>7.6</c:v>
                </c:pt>
                <c:pt idx="10" formatCode="_(* #,##0.00_);_(* \(#,##0.00\);_(* &quot;-&quot;??_);_(@_)">
                  <c:v>7.6</c:v>
                </c:pt>
                <c:pt idx="11">
                  <c:v>7.2</c:v>
                </c:pt>
              </c:numCache>
            </c:numRef>
          </c:val>
          <c:smooth val="0"/>
        </c:ser>
        <c:ser>
          <c:idx val="7"/>
          <c:order val="7"/>
          <c:tx>
            <c:strRef>
              <c:f>'Waste Data &amp; Service Charg'!$B$26</c:f>
              <c:strCache>
                <c:ptCount val="1"/>
                <c:pt idx="0">
                  <c:v>C &amp; D </c:v>
                </c:pt>
              </c:strCache>
            </c:strRef>
          </c:tx>
          <c:cat>
            <c:strRef>
              <c:f>'Waste Data &amp; Service Charg'!$C$18:$N$18</c:f>
              <c:strCache>
                <c:ptCount val="12"/>
                <c:pt idx="0">
                  <c:v>Jan_2024</c:v>
                </c:pt>
                <c:pt idx="1">
                  <c:v>Feb_2024</c:v>
                </c:pt>
                <c:pt idx="2">
                  <c:v>Mar_2024</c:v>
                </c:pt>
                <c:pt idx="3">
                  <c:v>Apr_2024</c:v>
                </c:pt>
                <c:pt idx="4">
                  <c:v>May_2024</c:v>
                </c:pt>
                <c:pt idx="5">
                  <c:v>June_2024</c:v>
                </c:pt>
                <c:pt idx="6">
                  <c:v>July_2024</c:v>
                </c:pt>
                <c:pt idx="7">
                  <c:v>Aug_2024</c:v>
                </c:pt>
                <c:pt idx="8">
                  <c:v>Sep_2024</c:v>
                </c:pt>
                <c:pt idx="9">
                  <c:v>Oct_2024</c:v>
                </c:pt>
                <c:pt idx="10">
                  <c:v>Nov_2024</c:v>
                </c:pt>
                <c:pt idx="11">
                  <c:v>Dec_2024</c:v>
                </c:pt>
              </c:strCache>
            </c:strRef>
          </c:cat>
          <c:val>
            <c:numRef>
              <c:f>'Waste Data &amp; Service Charg'!$C$26:$N$26</c:f>
              <c:numCache>
                <c:formatCode>General</c:formatCode>
                <c:ptCount val="12"/>
                <c:pt idx="0">
                  <c:v>1872.9</c:v>
                </c:pt>
                <c:pt idx="1">
                  <c:v>1986.3</c:v>
                </c:pt>
                <c:pt idx="2">
                  <c:v>2334.9</c:v>
                </c:pt>
                <c:pt idx="3" formatCode="_(* #,##0.00_);_(* \(#,##0.00\);_(* &quot;-&quot;??_);_(@_)">
                  <c:v>2038.6</c:v>
                </c:pt>
                <c:pt idx="4" formatCode="_(* #,##0.00_);_(* \(#,##0.00\);_(* &quot;-&quot;??_);_(@_)">
                  <c:v>2744.1</c:v>
                </c:pt>
                <c:pt idx="5">
                  <c:v>1914.9</c:v>
                </c:pt>
                <c:pt idx="6">
                  <c:v>1751.3</c:v>
                </c:pt>
                <c:pt idx="7" formatCode="_(* #,##0.00_);_(* \(#,##0.00\);_(* &quot;-&quot;??_);_(@_)">
                  <c:v>1673.7</c:v>
                </c:pt>
                <c:pt idx="8" formatCode="_(* #,##0.00_);_(* \(#,##0.00\);_(* &quot;-&quot;??_);_(@_)">
                  <c:v>1498.7</c:v>
                </c:pt>
                <c:pt idx="9" formatCode="_(* #,##0.00_);_(* \(#,##0.00\);_(* &quot;-&quot;??_);_(@_)">
                  <c:v>1513</c:v>
                </c:pt>
                <c:pt idx="10" formatCode="_(* #,##0.00_);_(* \(#,##0.00\);_(* &quot;-&quot;??_);_(@_)">
                  <c:v>1900.6</c:v>
                </c:pt>
                <c:pt idx="11" formatCode="_(* #,##0.00_);_(* \(#,##0.00\);_(* &quot;-&quot;??_);_(@_)">
                  <c:v>2135.8000000000002</c:v>
                </c:pt>
              </c:numCache>
            </c:numRef>
          </c:val>
          <c:smooth val="0"/>
        </c:ser>
        <c:ser>
          <c:idx val="8"/>
          <c:order val="8"/>
          <c:tx>
            <c:strRef>
              <c:f>'Waste Data &amp; Service Charg'!$B$27</c:f>
              <c:strCache>
                <c:ptCount val="1"/>
                <c:pt idx="0">
                  <c:v>Total</c:v>
                </c:pt>
              </c:strCache>
            </c:strRef>
          </c:tx>
          <c:cat>
            <c:strRef>
              <c:f>'Waste Data &amp; Service Charg'!$C$18:$N$18</c:f>
              <c:strCache>
                <c:ptCount val="12"/>
                <c:pt idx="0">
                  <c:v>Jan_2024</c:v>
                </c:pt>
                <c:pt idx="1">
                  <c:v>Feb_2024</c:v>
                </c:pt>
                <c:pt idx="2">
                  <c:v>Mar_2024</c:v>
                </c:pt>
                <c:pt idx="3">
                  <c:v>Apr_2024</c:v>
                </c:pt>
                <c:pt idx="4">
                  <c:v>May_2024</c:v>
                </c:pt>
                <c:pt idx="5">
                  <c:v>June_2024</c:v>
                </c:pt>
                <c:pt idx="6">
                  <c:v>July_2024</c:v>
                </c:pt>
                <c:pt idx="7">
                  <c:v>Aug_2024</c:v>
                </c:pt>
                <c:pt idx="8">
                  <c:v>Sep_2024</c:v>
                </c:pt>
                <c:pt idx="9">
                  <c:v>Oct_2024</c:v>
                </c:pt>
                <c:pt idx="10">
                  <c:v>Nov_2024</c:v>
                </c:pt>
                <c:pt idx="11">
                  <c:v>Dec_2024</c:v>
                </c:pt>
              </c:strCache>
            </c:strRef>
          </c:cat>
          <c:val>
            <c:numRef>
              <c:f>'Waste Data &amp; Service Charg'!$C$27:$N$27</c:f>
              <c:numCache>
                <c:formatCode>_(* #,##0.00_);_(* \(#,##0.00\);_(* "-"??_);_(@_)</c:formatCode>
                <c:ptCount val="12"/>
                <c:pt idx="0">
                  <c:v>12382.799999999997</c:v>
                </c:pt>
                <c:pt idx="1">
                  <c:v>10079.799999999999</c:v>
                </c:pt>
                <c:pt idx="2">
                  <c:v>11865.5</c:v>
                </c:pt>
                <c:pt idx="3">
                  <c:v>11898.2</c:v>
                </c:pt>
                <c:pt idx="4">
                  <c:v>12830.499999999998</c:v>
                </c:pt>
                <c:pt idx="5">
                  <c:v>12206.1</c:v>
                </c:pt>
                <c:pt idx="6">
                  <c:v>13550.499999999998</c:v>
                </c:pt>
                <c:pt idx="7">
                  <c:v>12753.800000000001</c:v>
                </c:pt>
                <c:pt idx="8">
                  <c:v>11358.700000000003</c:v>
                </c:pt>
                <c:pt idx="9">
                  <c:v>13545.7</c:v>
                </c:pt>
                <c:pt idx="10">
                  <c:v>13671.3</c:v>
                </c:pt>
                <c:pt idx="11">
                  <c:v>15186.100000000002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5930624"/>
        <c:axId val="195856064"/>
      </c:lineChart>
      <c:catAx>
        <c:axId val="19593062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lang="en-GB"/>
            </a:pPr>
            <a:endParaRPr lang="en-US"/>
          </a:p>
        </c:txPr>
        <c:crossAx val="195856064"/>
        <c:crosses val="autoZero"/>
        <c:auto val="1"/>
        <c:lblAlgn val="ctr"/>
        <c:lblOffset val="100"/>
        <c:noMultiLvlLbl val="1"/>
      </c:catAx>
      <c:valAx>
        <c:axId val="195856064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lang="en-GB"/>
            </a:pPr>
            <a:endParaRPr lang="en-US"/>
          </a:p>
        </c:txPr>
        <c:crossAx val="195930624"/>
        <c:crosses val="autoZero"/>
        <c:crossBetween val="between"/>
      </c:valAx>
    </c:plotArea>
    <c:legend>
      <c:legendPos val="r"/>
      <c:layout/>
      <c:overlay val="0"/>
      <c:txPr>
        <a:bodyPr/>
        <a:lstStyle/>
        <a:p>
          <a:pPr>
            <a:defRPr lang="en-GB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000000000000466" l="0.70000000000000062" r="0.70000000000000062" t="0.75000000000000466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lang="en-GB"/>
            </a:pPr>
            <a:r>
              <a:rPr lang="en-US" sz="1800" b="1" i="0" baseline="0"/>
              <a:t>Source Analysis of Buranable Waste Intake </a:t>
            </a:r>
            <a:endParaRPr lang="en-GB" sz="1800" b="1" i="0" baseline="0"/>
          </a:p>
        </c:rich>
      </c:tx>
      <c:layout>
        <c:manualLayout>
          <c:xMode val="edge"/>
          <c:yMode val="edge"/>
          <c:x val="0.21139427037494041"/>
          <c:y val="3.1627916243300871E-2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'Waste Data &amp; Service Charg'!#REF!</c:f>
              <c:strCache>
                <c:ptCount val="1"/>
                <c:pt idx="0">
                  <c:v>#REF!</c:v>
                </c:pt>
              </c:strCache>
            </c:strRef>
          </c:tx>
          <c:cat>
            <c:multiLvlStrRef>
              <c:f>'Waste Data &amp; Service Charg'!#REF!</c:f>
            </c:multiLvlStrRef>
          </c:cat>
          <c:val>
            <c:numRef>
              <c:f>'Waste Data &amp; Service Charg'!#REF!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'Waste Data &amp; Service Charg'!#REF!</c:f>
              <c:strCache>
                <c:ptCount val="1"/>
                <c:pt idx="0">
                  <c:v>#REF!</c:v>
                </c:pt>
              </c:strCache>
            </c:strRef>
          </c:tx>
          <c:cat>
            <c:multiLvlStrRef>
              <c:f>'Waste Data &amp; Service Charg'!#REF!</c:f>
            </c:multiLvlStrRef>
          </c:cat>
          <c:val>
            <c:numRef>
              <c:f>'Waste Data &amp; Service Charg'!#REF!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'Waste Data &amp; Service Charg'!#REF!</c:f>
              <c:strCache>
                <c:ptCount val="1"/>
                <c:pt idx="0">
                  <c:v>#REF!</c:v>
                </c:pt>
              </c:strCache>
            </c:strRef>
          </c:tx>
          <c:cat>
            <c:multiLvlStrRef>
              <c:f>'Waste Data &amp; Service Charg'!#REF!</c:f>
            </c:multiLvlStrRef>
          </c:cat>
          <c:val>
            <c:numRef>
              <c:f>'Waste Data &amp; Service Charg'!#REF!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'Waste Data &amp; Service Charg'!#REF!</c:f>
              <c:strCache>
                <c:ptCount val="1"/>
                <c:pt idx="0">
                  <c:v>#REF!</c:v>
                </c:pt>
              </c:strCache>
            </c:strRef>
          </c:tx>
          <c:cat>
            <c:multiLvlStrRef>
              <c:f>'Waste Data &amp; Service Charg'!#REF!</c:f>
            </c:multiLvlStrRef>
          </c:cat>
          <c:val>
            <c:numRef>
              <c:f>'Waste Data &amp; Service Charg'!#REF!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</c:ser>
        <c:ser>
          <c:idx val="4"/>
          <c:order val="4"/>
          <c:tx>
            <c:strRef>
              <c:f>'Waste Data &amp; Service Charg'!#REF!</c:f>
              <c:strCache>
                <c:ptCount val="1"/>
                <c:pt idx="0">
                  <c:v>#REF!</c:v>
                </c:pt>
              </c:strCache>
            </c:strRef>
          </c:tx>
          <c:cat>
            <c:multiLvlStrRef>
              <c:f>'Waste Data &amp; Service Charg'!#REF!</c:f>
            </c:multiLvlStrRef>
          </c:cat>
          <c:val>
            <c:numRef>
              <c:f>'Waste Data &amp; Service Charg'!#REF!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</c:ser>
        <c:ser>
          <c:idx val="5"/>
          <c:order val="5"/>
          <c:tx>
            <c:strRef>
              <c:f>'Waste Data &amp; Service Charg'!#REF!</c:f>
              <c:strCache>
                <c:ptCount val="1"/>
                <c:pt idx="0">
                  <c:v>#REF!</c:v>
                </c:pt>
              </c:strCache>
            </c:strRef>
          </c:tx>
          <c:cat>
            <c:multiLvlStrRef>
              <c:f>'Waste Data &amp; Service Charg'!#REF!</c:f>
            </c:multiLvlStrRef>
          </c:cat>
          <c:val>
            <c:numRef>
              <c:f>'Waste Data &amp; Service Charg'!#REF!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</c:ser>
        <c:ser>
          <c:idx val="6"/>
          <c:order val="6"/>
          <c:tx>
            <c:strRef>
              <c:f>'Waste Data &amp; Service Charg'!#REF!</c:f>
              <c:strCache>
                <c:ptCount val="1"/>
                <c:pt idx="0">
                  <c:v>#REF!</c:v>
                </c:pt>
              </c:strCache>
            </c:strRef>
          </c:tx>
          <c:cat>
            <c:multiLvlStrRef>
              <c:f>'Waste Data &amp; Service Charg'!#REF!</c:f>
            </c:multiLvlStrRef>
          </c:cat>
          <c:val>
            <c:numRef>
              <c:f>'Waste Data &amp; Service Charg'!#REF!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</c:ser>
        <c:ser>
          <c:idx val="7"/>
          <c:order val="7"/>
          <c:tx>
            <c:strRef>
              <c:f>'Waste Data &amp; Service Charg'!#REF!</c:f>
              <c:strCache>
                <c:ptCount val="1"/>
                <c:pt idx="0">
                  <c:v>#REF!</c:v>
                </c:pt>
              </c:strCache>
            </c:strRef>
          </c:tx>
          <c:cat>
            <c:multiLvlStrRef>
              <c:f>'Waste Data &amp; Service Charg'!#REF!</c:f>
            </c:multiLvlStrRef>
          </c:cat>
          <c:val>
            <c:numRef>
              <c:f>'Waste Data &amp; Service Charg'!#REF!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5809792"/>
        <c:axId val="195858368"/>
      </c:lineChart>
      <c:catAx>
        <c:axId val="195809792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txPr>
          <a:bodyPr/>
          <a:lstStyle/>
          <a:p>
            <a:pPr>
              <a:defRPr lang="en-GB"/>
            </a:pPr>
            <a:endParaRPr lang="en-US"/>
          </a:p>
        </c:txPr>
        <c:crossAx val="195858368"/>
        <c:crosses val="autoZero"/>
        <c:auto val="1"/>
        <c:lblAlgn val="ctr"/>
        <c:lblOffset val="100"/>
        <c:noMultiLvlLbl val="0"/>
      </c:catAx>
      <c:valAx>
        <c:axId val="19585836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lang="en-GB"/>
            </a:pPr>
            <a:endParaRPr lang="en-US"/>
          </a:p>
        </c:txPr>
        <c:crossAx val="195809792"/>
        <c:crosses val="autoZero"/>
        <c:crossBetween val="between"/>
      </c:valAx>
    </c:plotArea>
    <c:legend>
      <c:legendPos val="r"/>
      <c:layout/>
      <c:overlay val="0"/>
      <c:txPr>
        <a:bodyPr/>
        <a:lstStyle/>
        <a:p>
          <a:pPr>
            <a:defRPr lang="en-GB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0000000000003" l="0.70000000000000062" r="0.70000000000000062" t="0.750000000000003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502099</xdr:colOff>
      <xdr:row>0</xdr:row>
      <xdr:rowOff>102107</xdr:rowOff>
    </xdr:from>
    <xdr:to>
      <xdr:col>30</xdr:col>
      <xdr:colOff>235398</xdr:colOff>
      <xdr:row>15</xdr:row>
      <xdr:rowOff>0</xdr:rowOff>
    </xdr:to>
    <xdr:graphicFrame macro="">
      <xdr:nvGraphicFramePr>
        <xdr:cNvPr id="11" name="Chart 10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513229</xdr:colOff>
      <xdr:row>16</xdr:row>
      <xdr:rowOff>141753</xdr:rowOff>
    </xdr:from>
    <xdr:to>
      <xdr:col>30</xdr:col>
      <xdr:colOff>266290</xdr:colOff>
      <xdr:row>28</xdr:row>
      <xdr:rowOff>0</xdr:rowOff>
    </xdr:to>
    <xdr:graphicFrame macro="">
      <xdr:nvGraphicFramePr>
        <xdr:cNvPr id="15" name="Chart 1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15</xdr:col>
      <xdr:colOff>555834</xdr:colOff>
      <xdr:row>15</xdr:row>
      <xdr:rowOff>0</xdr:rowOff>
    </xdr:from>
    <xdr:to>
      <xdr:col>31</xdr:col>
      <xdr:colOff>502577</xdr:colOff>
      <xdr:row>15</xdr:row>
      <xdr:rowOff>114590</xdr:rowOff>
    </xdr:to>
    <xdr:graphicFrame macro="">
      <xdr:nvGraphicFramePr>
        <xdr:cNvPr id="9" name="Chart 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O28"/>
  <sheetViews>
    <sheetView tabSelected="1" topLeftCell="D4" zoomScale="85" zoomScaleNormal="85" workbookViewId="0">
      <selection activeCell="O7" sqref="O7"/>
    </sheetView>
  </sheetViews>
  <sheetFormatPr defaultRowHeight="15" x14ac:dyDescent="0.25"/>
  <cols>
    <col min="1" max="1" width="1.42578125" style="16" customWidth="1"/>
    <col min="2" max="2" width="33.28515625" style="16" customWidth="1"/>
    <col min="3" max="4" width="15.140625" style="16" customWidth="1"/>
    <col min="5" max="5" width="14.28515625" style="16" customWidth="1"/>
    <col min="6" max="6" width="13.7109375" style="16" customWidth="1"/>
    <col min="7" max="7" width="12.7109375" style="16" customWidth="1"/>
    <col min="8" max="8" width="12.5703125" style="18" customWidth="1"/>
    <col min="9" max="9" width="12.42578125" style="18" customWidth="1"/>
    <col min="10" max="10" width="12.5703125" style="16" customWidth="1"/>
    <col min="11" max="11" width="11.7109375" style="16" customWidth="1"/>
    <col min="12" max="12" width="12.7109375" style="16" customWidth="1"/>
    <col min="13" max="13" width="14" style="16" customWidth="1"/>
    <col min="14" max="14" width="15.28515625" style="16" customWidth="1"/>
    <col min="15" max="15" width="15.7109375" style="16" customWidth="1"/>
    <col min="16" max="16" width="14.5703125" style="16" customWidth="1"/>
    <col min="17" max="18" width="9.140625" style="16"/>
    <col min="19" max="19" width="14.7109375" style="16" customWidth="1"/>
    <col min="20" max="16384" width="9.140625" style="16"/>
  </cols>
  <sheetData>
    <row r="2" spans="2:15" x14ac:dyDescent="0.25">
      <c r="B2" s="33" t="s">
        <v>17</v>
      </c>
      <c r="C2" s="33"/>
      <c r="D2" s="33"/>
      <c r="E2" s="33"/>
      <c r="F2" s="33"/>
      <c r="G2" s="33"/>
      <c r="H2" s="33"/>
      <c r="I2" s="33"/>
      <c r="J2" s="33"/>
      <c r="K2" s="33"/>
      <c r="L2" s="33"/>
      <c r="M2" s="33"/>
      <c r="N2" s="33"/>
      <c r="O2" s="24"/>
    </row>
    <row r="3" spans="2:15" ht="15.75" x14ac:dyDescent="0.25">
      <c r="B3" s="8" t="s">
        <v>13</v>
      </c>
      <c r="C3" s="13" t="s">
        <v>24</v>
      </c>
      <c r="D3" s="13" t="s">
        <v>25</v>
      </c>
      <c r="E3" s="13" t="s">
        <v>26</v>
      </c>
      <c r="F3" s="13" t="s">
        <v>27</v>
      </c>
      <c r="G3" s="13" t="s">
        <v>28</v>
      </c>
      <c r="H3" s="13" t="s">
        <v>29</v>
      </c>
      <c r="I3" s="13" t="s">
        <v>30</v>
      </c>
      <c r="J3" s="13" t="s">
        <v>31</v>
      </c>
      <c r="K3" s="13" t="s">
        <v>32</v>
      </c>
      <c r="L3" s="13" t="s">
        <v>33</v>
      </c>
      <c r="M3" s="13" t="s">
        <v>34</v>
      </c>
      <c r="N3" s="13" t="s">
        <v>35</v>
      </c>
    </row>
    <row r="4" spans="2:15" ht="15.75" x14ac:dyDescent="0.25">
      <c r="B4" s="7" t="s">
        <v>1</v>
      </c>
      <c r="C4" s="9">
        <v>1517.7</v>
      </c>
      <c r="D4" s="30">
        <v>1285.0999999999997</v>
      </c>
      <c r="E4" s="30">
        <v>1364.1000000000001</v>
      </c>
      <c r="F4" s="30">
        <v>1556.1999999999998</v>
      </c>
      <c r="G4" s="12">
        <v>1605.3</v>
      </c>
      <c r="H4" s="12">
        <v>1643.4</v>
      </c>
      <c r="I4" s="12">
        <v>1737.1</v>
      </c>
      <c r="J4" s="9">
        <v>1513.4</v>
      </c>
      <c r="K4" s="9">
        <v>1352.3999999999999</v>
      </c>
      <c r="L4" s="9">
        <v>1547.5</v>
      </c>
      <c r="M4" s="9">
        <v>1608.5</v>
      </c>
      <c r="N4" s="9">
        <v>1731.8999999999999</v>
      </c>
      <c r="O4" s="32"/>
    </row>
    <row r="5" spans="2:15" ht="15.75" x14ac:dyDescent="0.25">
      <c r="B5" s="7" t="s">
        <v>2</v>
      </c>
      <c r="C5" s="9">
        <v>769.7</v>
      </c>
      <c r="D5" s="30">
        <v>683.8</v>
      </c>
      <c r="E5" s="30">
        <v>776.09999999999991</v>
      </c>
      <c r="F5" s="30">
        <v>678.1</v>
      </c>
      <c r="G5" s="11">
        <v>736.6</v>
      </c>
      <c r="H5" s="11">
        <v>739.3</v>
      </c>
      <c r="I5" s="11">
        <v>895.8</v>
      </c>
      <c r="J5" s="9">
        <v>796.59999999999991</v>
      </c>
      <c r="K5" s="9">
        <v>738.3</v>
      </c>
      <c r="L5" s="9">
        <v>874</v>
      </c>
      <c r="M5" s="9">
        <v>843.4</v>
      </c>
      <c r="N5" s="9">
        <v>921.2</v>
      </c>
      <c r="O5" s="32"/>
    </row>
    <row r="6" spans="2:15" ht="15.75" x14ac:dyDescent="0.25">
      <c r="B6" s="7" t="s">
        <v>3</v>
      </c>
      <c r="C6" s="9">
        <v>1736.4</v>
      </c>
      <c r="D6" s="30">
        <v>1472.6</v>
      </c>
      <c r="E6" s="30">
        <v>1649.2</v>
      </c>
      <c r="F6" s="30">
        <v>1782.8000000000002</v>
      </c>
      <c r="G6" s="12">
        <v>1947.5</v>
      </c>
      <c r="H6" s="12">
        <v>1680.6</v>
      </c>
      <c r="I6" s="12">
        <v>1888.6</v>
      </c>
      <c r="J6" s="9">
        <v>1716.6</v>
      </c>
      <c r="K6" s="9">
        <v>1564.8999999999999</v>
      </c>
      <c r="L6" s="9">
        <v>1882</v>
      </c>
      <c r="M6" s="9">
        <v>1875.6</v>
      </c>
      <c r="N6" s="9">
        <v>1984.8999999999999</v>
      </c>
      <c r="O6" s="32"/>
    </row>
    <row r="7" spans="2:15" ht="15.75" x14ac:dyDescent="0.25">
      <c r="B7" s="7" t="s">
        <v>14</v>
      </c>
      <c r="C7" s="9">
        <v>3172.6</v>
      </c>
      <c r="D7" s="30">
        <v>2640.4</v>
      </c>
      <c r="E7" s="30">
        <v>3046.4999999999995</v>
      </c>
      <c r="F7" s="30">
        <v>2810.2</v>
      </c>
      <c r="G7" s="12">
        <v>2966.7</v>
      </c>
      <c r="H7" s="12">
        <v>2864.9000000000005</v>
      </c>
      <c r="I7" s="12">
        <v>3271.2000000000003</v>
      </c>
      <c r="J7" s="9">
        <v>3129.9</v>
      </c>
      <c r="K7" s="9">
        <v>2501.5</v>
      </c>
      <c r="L7" s="9">
        <v>3199.3</v>
      </c>
      <c r="M7" s="9">
        <v>3222.6000000000004</v>
      </c>
      <c r="N7" s="9">
        <v>3541.7999999999997</v>
      </c>
      <c r="O7" s="32"/>
    </row>
    <row r="8" spans="2:15" ht="15.75" x14ac:dyDescent="0.25">
      <c r="B8" s="7" t="s">
        <v>6</v>
      </c>
      <c r="C8" s="9">
        <v>433.80000000000007</v>
      </c>
      <c r="D8" s="30">
        <v>402.3</v>
      </c>
      <c r="E8" s="30">
        <v>443.1</v>
      </c>
      <c r="F8" s="30">
        <v>451.20000000000005</v>
      </c>
      <c r="G8" s="11">
        <v>446.4</v>
      </c>
      <c r="H8" s="11">
        <v>478</v>
      </c>
      <c r="I8" s="11">
        <v>685.69999999999993</v>
      </c>
      <c r="J8" s="9">
        <v>995.40000000000009</v>
      </c>
      <c r="K8" s="9">
        <v>982.6</v>
      </c>
      <c r="L8" s="9">
        <v>1130.9000000000001</v>
      </c>
      <c r="M8" s="9">
        <v>1090.4000000000001</v>
      </c>
      <c r="N8" s="9">
        <v>1310.0999999999999</v>
      </c>
      <c r="O8" s="32"/>
    </row>
    <row r="9" spans="2:15" ht="15.75" x14ac:dyDescent="0.25">
      <c r="B9" s="7" t="s">
        <v>4</v>
      </c>
      <c r="C9" s="9">
        <v>2143.8000000000002</v>
      </c>
      <c r="D9" s="30">
        <v>982.09999999999991</v>
      </c>
      <c r="E9" s="30">
        <v>1585.2</v>
      </c>
      <c r="F9" s="30">
        <v>1619.1000000000001</v>
      </c>
      <c r="G9" s="12">
        <v>1250.5</v>
      </c>
      <c r="H9" s="12">
        <v>2113.3000000000002</v>
      </c>
      <c r="I9" s="12">
        <v>2498.1</v>
      </c>
      <c r="J9" s="9">
        <v>2169.6</v>
      </c>
      <c r="K9" s="9">
        <v>2043.1999999999998</v>
      </c>
      <c r="L9" s="9">
        <v>2523.1</v>
      </c>
      <c r="M9" s="9">
        <v>2271.0999999999995</v>
      </c>
      <c r="N9" s="9">
        <v>2703</v>
      </c>
      <c r="O9" s="32"/>
    </row>
    <row r="10" spans="2:15" ht="15.75" x14ac:dyDescent="0.25">
      <c r="B10" s="7" t="s">
        <v>5</v>
      </c>
      <c r="C10" s="9">
        <v>695.9</v>
      </c>
      <c r="D10" s="30">
        <v>590.70000000000005</v>
      </c>
      <c r="E10" s="30">
        <v>647.9</v>
      </c>
      <c r="F10" s="30">
        <v>948.8</v>
      </c>
      <c r="G10" s="12">
        <v>1116.0999999999999</v>
      </c>
      <c r="H10" s="12">
        <v>752</v>
      </c>
      <c r="I10" s="12">
        <v>803.6</v>
      </c>
      <c r="J10" s="9">
        <v>732.3</v>
      </c>
      <c r="K10" s="9">
        <v>656.7</v>
      </c>
      <c r="L10" s="9">
        <v>850.6</v>
      </c>
      <c r="M10" s="9">
        <v>827.7</v>
      </c>
      <c r="N10" s="9">
        <v>825.4</v>
      </c>
      <c r="O10" s="32"/>
    </row>
    <row r="11" spans="2:15" x14ac:dyDescent="0.25">
      <c r="B11" s="28" t="s">
        <v>21</v>
      </c>
      <c r="C11" s="9">
        <v>33.6</v>
      </c>
      <c r="D11" s="30">
        <v>23.4</v>
      </c>
      <c r="E11" s="30">
        <v>9.5</v>
      </c>
      <c r="F11" s="30">
        <v>6</v>
      </c>
      <c r="G11" s="11">
        <v>7.9</v>
      </c>
      <c r="H11" s="11">
        <v>8.6999999999999993</v>
      </c>
      <c r="I11" s="11">
        <v>5.9</v>
      </c>
      <c r="J11" s="9">
        <v>11.7</v>
      </c>
      <c r="K11" s="9">
        <v>8.3000000000000007</v>
      </c>
      <c r="L11" s="9">
        <v>13.899999999999999</v>
      </c>
      <c r="M11" s="9">
        <v>14.2</v>
      </c>
      <c r="N11" s="9">
        <v>16.5</v>
      </c>
      <c r="O11" s="32"/>
    </row>
    <row r="12" spans="2:15" x14ac:dyDescent="0.25">
      <c r="B12" s="28" t="s">
        <v>23</v>
      </c>
      <c r="C12" s="9">
        <v>6.4</v>
      </c>
      <c r="D12" s="30">
        <v>13.1</v>
      </c>
      <c r="E12" s="30">
        <v>9</v>
      </c>
      <c r="F12" s="30">
        <v>7.2</v>
      </c>
      <c r="G12" s="11">
        <v>9.4</v>
      </c>
      <c r="H12" s="11">
        <v>11</v>
      </c>
      <c r="I12" s="11">
        <v>13.2</v>
      </c>
      <c r="J12" s="9">
        <v>14.6</v>
      </c>
      <c r="K12" s="9">
        <v>12.1</v>
      </c>
      <c r="L12" s="9">
        <v>11.4</v>
      </c>
      <c r="M12" s="9">
        <v>17.2</v>
      </c>
      <c r="N12" s="9">
        <v>15.5</v>
      </c>
      <c r="O12" s="32"/>
    </row>
    <row r="13" spans="2:15" x14ac:dyDescent="0.25">
      <c r="B13" s="28" t="s">
        <v>22</v>
      </c>
      <c r="C13" s="9">
        <v>1872.9</v>
      </c>
      <c r="D13" s="30">
        <v>1986.3</v>
      </c>
      <c r="E13" s="30">
        <v>2334.9</v>
      </c>
      <c r="F13" s="30">
        <v>2038.6</v>
      </c>
      <c r="G13" s="12">
        <v>2744.1</v>
      </c>
      <c r="H13" s="12">
        <v>1914.9</v>
      </c>
      <c r="I13" s="12">
        <v>1751.3</v>
      </c>
      <c r="J13" s="9">
        <v>1673.7</v>
      </c>
      <c r="K13" s="9">
        <v>1498.7</v>
      </c>
      <c r="L13" s="9">
        <v>1513</v>
      </c>
      <c r="M13" s="9">
        <v>1900.6</v>
      </c>
      <c r="N13" s="9">
        <v>2135.8000000000002</v>
      </c>
      <c r="O13" s="32"/>
    </row>
    <row r="14" spans="2:15" ht="15.75" x14ac:dyDescent="0.25">
      <c r="B14" s="1" t="s">
        <v>7</v>
      </c>
      <c r="C14" s="10">
        <f t="shared" ref="C14:H14" si="0">SUM(C4:C13)</f>
        <v>12382.8</v>
      </c>
      <c r="D14" s="10">
        <f t="shared" si="0"/>
        <v>10079.799999999999</v>
      </c>
      <c r="E14" s="10">
        <f t="shared" si="0"/>
        <v>11865.5</v>
      </c>
      <c r="F14" s="10">
        <f t="shared" si="0"/>
        <v>11898.199999999999</v>
      </c>
      <c r="G14" s="10">
        <f t="shared" si="0"/>
        <v>12830.5</v>
      </c>
      <c r="H14" s="10">
        <f t="shared" si="0"/>
        <v>12206.1</v>
      </c>
      <c r="I14" s="10">
        <f t="shared" ref="I14:N14" si="1">SUM(I4:I13)</f>
        <v>13550.500000000002</v>
      </c>
      <c r="J14" s="10">
        <f t="shared" si="1"/>
        <v>12753.800000000001</v>
      </c>
      <c r="K14" s="10">
        <f t="shared" si="1"/>
        <v>11358.7</v>
      </c>
      <c r="L14" s="10">
        <f t="shared" si="1"/>
        <v>13545.7</v>
      </c>
      <c r="M14" s="10">
        <f t="shared" si="1"/>
        <v>13671.300000000001</v>
      </c>
      <c r="N14" s="10">
        <f t="shared" si="1"/>
        <v>15186.099999999999</v>
      </c>
      <c r="O14" s="32"/>
    </row>
    <row r="15" spans="2:15" ht="15.75" x14ac:dyDescent="0.25">
      <c r="B15" s="2"/>
      <c r="C15" s="3"/>
      <c r="D15" s="4"/>
      <c r="E15" s="5"/>
      <c r="F15" s="17"/>
      <c r="G15" s="26"/>
      <c r="H15" s="26"/>
      <c r="I15" s="17"/>
      <c r="J15" s="17"/>
      <c r="K15" s="17"/>
      <c r="L15" s="17"/>
      <c r="N15" s="24"/>
    </row>
    <row r="16" spans="2:15" x14ac:dyDescent="0.25">
      <c r="B16" s="20"/>
      <c r="C16" s="21"/>
      <c r="D16" s="21"/>
      <c r="L16" s="19"/>
    </row>
    <row r="17" spans="2:15" x14ac:dyDescent="0.25">
      <c r="B17" s="34" t="s">
        <v>20</v>
      </c>
      <c r="C17" s="34"/>
      <c r="D17" s="34"/>
      <c r="E17" s="34"/>
      <c r="F17" s="34"/>
      <c r="G17" s="34"/>
      <c r="H17" s="34"/>
      <c r="I17" s="34"/>
      <c r="J17" s="34"/>
      <c r="K17" s="34"/>
      <c r="L17" s="34"/>
      <c r="M17" s="34"/>
      <c r="N17" s="34"/>
    </row>
    <row r="18" spans="2:15" x14ac:dyDescent="0.25">
      <c r="B18" s="29" t="s">
        <v>15</v>
      </c>
      <c r="C18" s="13" t="s">
        <v>24</v>
      </c>
      <c r="D18" s="13" t="s">
        <v>25</v>
      </c>
      <c r="E18" s="13" t="s">
        <v>26</v>
      </c>
      <c r="F18" s="13" t="s">
        <v>27</v>
      </c>
      <c r="G18" s="13" t="s">
        <v>28</v>
      </c>
      <c r="H18" s="13" t="s">
        <v>29</v>
      </c>
      <c r="I18" s="13" t="s">
        <v>30</v>
      </c>
      <c r="J18" s="13" t="s">
        <v>31</v>
      </c>
      <c r="K18" s="13" t="s">
        <v>32</v>
      </c>
      <c r="L18" s="13" t="s">
        <v>33</v>
      </c>
      <c r="M18" s="13" t="s">
        <v>34</v>
      </c>
      <c r="N18" s="13" t="s">
        <v>35</v>
      </c>
    </row>
    <row r="19" spans="2:15" x14ac:dyDescent="0.25">
      <c r="B19" s="22" t="s">
        <v>19</v>
      </c>
      <c r="C19" s="14">
        <v>112.60000000000002</v>
      </c>
      <c r="D19" s="14">
        <v>103.1</v>
      </c>
      <c r="E19" s="14">
        <v>68.5</v>
      </c>
      <c r="F19" s="9">
        <v>70.2</v>
      </c>
      <c r="G19" s="9">
        <v>78.7</v>
      </c>
      <c r="H19" s="14">
        <v>74.5</v>
      </c>
      <c r="I19" s="14">
        <v>53.5</v>
      </c>
      <c r="J19" s="9">
        <v>124.39999999999999</v>
      </c>
      <c r="K19" s="9">
        <v>203.3</v>
      </c>
      <c r="L19" s="9">
        <v>297.2</v>
      </c>
      <c r="M19" s="9">
        <v>610.20000000000005</v>
      </c>
      <c r="N19" s="9">
        <v>809.8</v>
      </c>
    </row>
    <row r="20" spans="2:15" x14ac:dyDescent="0.25">
      <c r="B20" s="22" t="s">
        <v>8</v>
      </c>
      <c r="C20" s="14">
        <v>5684.0999999999995</v>
      </c>
      <c r="D20" s="14">
        <v>4938.7</v>
      </c>
      <c r="E20" s="14">
        <v>5551.8</v>
      </c>
      <c r="F20" s="9">
        <v>5761.0999999999995</v>
      </c>
      <c r="G20" s="9">
        <v>6566.2</v>
      </c>
      <c r="H20" s="14">
        <v>5701.5000000000009</v>
      </c>
      <c r="I20" s="14">
        <v>6354.7999999999993</v>
      </c>
      <c r="J20" s="9">
        <v>5762</v>
      </c>
      <c r="K20" s="9">
        <v>4894.8999999999996</v>
      </c>
      <c r="L20" s="9">
        <v>5896.6</v>
      </c>
      <c r="M20" s="9">
        <v>6663.7</v>
      </c>
      <c r="N20" s="9">
        <v>7033.5</v>
      </c>
    </row>
    <row r="21" spans="2:15" x14ac:dyDescent="0.25">
      <c r="B21" s="22" t="s">
        <v>16</v>
      </c>
      <c r="C21" s="14">
        <v>4258.1000000000004</v>
      </c>
      <c r="D21" s="14">
        <v>2660.1</v>
      </c>
      <c r="E21" s="14">
        <v>3504.5</v>
      </c>
      <c r="F21" s="9">
        <v>3528.7</v>
      </c>
      <c r="G21" s="9">
        <v>2931.7</v>
      </c>
      <c r="H21" s="14">
        <v>3854.2999999999997</v>
      </c>
      <c r="I21" s="14">
        <v>4738.6000000000004</v>
      </c>
      <c r="J21" s="9">
        <v>4680.3999999999996</v>
      </c>
      <c r="K21" s="9">
        <v>4426.0000000000009</v>
      </c>
      <c r="L21" s="9">
        <v>5458.2000000000007</v>
      </c>
      <c r="M21" s="9">
        <v>3972.8999999999996</v>
      </c>
      <c r="N21" s="9">
        <v>4535.3999999999996</v>
      </c>
    </row>
    <row r="22" spans="2:15" x14ac:dyDescent="0.25">
      <c r="B22" s="22" t="s">
        <v>9</v>
      </c>
      <c r="C22" s="14">
        <v>369</v>
      </c>
      <c r="D22" s="14">
        <v>285.3</v>
      </c>
      <c r="E22" s="14">
        <v>322.99999999999994</v>
      </c>
      <c r="F22" s="9">
        <v>399.7</v>
      </c>
      <c r="G22" s="9">
        <v>400.4</v>
      </c>
      <c r="H22" s="14">
        <v>567.4</v>
      </c>
      <c r="I22" s="14">
        <v>524.40000000000009</v>
      </c>
      <c r="J22" s="9">
        <v>388.9</v>
      </c>
      <c r="K22" s="9">
        <v>219.6</v>
      </c>
      <c r="L22" s="9">
        <v>246.10000000000002</v>
      </c>
      <c r="M22" s="9">
        <v>368.5</v>
      </c>
      <c r="N22" s="9">
        <v>485.8</v>
      </c>
    </row>
    <row r="23" spans="2:15" x14ac:dyDescent="0.25">
      <c r="B23" s="22" t="s">
        <v>10</v>
      </c>
      <c r="C23" s="25">
        <v>0</v>
      </c>
      <c r="D23" s="25">
        <v>0</v>
      </c>
      <c r="E23" s="25">
        <v>0</v>
      </c>
      <c r="F23" s="25">
        <v>0</v>
      </c>
      <c r="G23" s="25">
        <v>0</v>
      </c>
      <c r="H23" s="25">
        <v>0</v>
      </c>
      <c r="I23" s="25">
        <v>0</v>
      </c>
      <c r="J23" s="25">
        <v>0</v>
      </c>
      <c r="K23" s="25">
        <v>0</v>
      </c>
      <c r="L23" s="25">
        <v>0</v>
      </c>
      <c r="M23" s="25">
        <v>0</v>
      </c>
      <c r="N23" s="25">
        <v>0</v>
      </c>
    </row>
    <row r="24" spans="2:15" ht="15.75" customHeight="1" x14ac:dyDescent="0.25">
      <c r="B24" s="23" t="s">
        <v>11</v>
      </c>
      <c r="C24" s="14">
        <v>79.3</v>
      </c>
      <c r="D24" s="25">
        <v>98.2</v>
      </c>
      <c r="E24" s="25">
        <v>74.099999999999994</v>
      </c>
      <c r="F24" s="6">
        <v>93.600000000000009</v>
      </c>
      <c r="G24" s="6">
        <v>102.5</v>
      </c>
      <c r="H24" s="14">
        <v>87.2</v>
      </c>
      <c r="I24" s="14">
        <v>119.39999999999999</v>
      </c>
      <c r="J24" s="9">
        <v>115.7</v>
      </c>
      <c r="K24" s="9">
        <v>109</v>
      </c>
      <c r="L24" s="9">
        <v>127</v>
      </c>
      <c r="M24" s="25">
        <v>147.80000000000001</v>
      </c>
      <c r="N24" s="25">
        <v>178.60000000000002</v>
      </c>
    </row>
    <row r="25" spans="2:15" x14ac:dyDescent="0.25">
      <c r="B25" s="22" t="s">
        <v>12</v>
      </c>
      <c r="C25" s="14">
        <v>6.8</v>
      </c>
      <c r="D25" s="14">
        <v>8.1</v>
      </c>
      <c r="E25" s="14">
        <v>8.6999999999999993</v>
      </c>
      <c r="F25" s="9">
        <v>6.3</v>
      </c>
      <c r="G25" s="9">
        <v>6.9</v>
      </c>
      <c r="H25" s="14">
        <v>6.3</v>
      </c>
      <c r="I25" s="14">
        <v>8.5</v>
      </c>
      <c r="J25" s="9">
        <v>8.6999999999999993</v>
      </c>
      <c r="K25" s="9">
        <v>7.2</v>
      </c>
      <c r="L25" s="9">
        <v>7.6</v>
      </c>
      <c r="M25" s="9">
        <v>7.6</v>
      </c>
      <c r="N25" s="25">
        <v>7.2</v>
      </c>
    </row>
    <row r="26" spans="2:15" x14ac:dyDescent="0.25">
      <c r="B26" s="22" t="s">
        <v>18</v>
      </c>
      <c r="C26" s="14">
        <v>1872.9</v>
      </c>
      <c r="D26" s="14">
        <v>1986.3</v>
      </c>
      <c r="E26" s="14">
        <v>2334.9</v>
      </c>
      <c r="F26" s="9">
        <v>2038.6</v>
      </c>
      <c r="G26" s="9">
        <v>2744.1</v>
      </c>
      <c r="H26" s="14">
        <v>1914.9</v>
      </c>
      <c r="I26" s="14">
        <v>1751.3</v>
      </c>
      <c r="J26" s="9">
        <v>1673.7</v>
      </c>
      <c r="K26" s="9">
        <v>1498.7</v>
      </c>
      <c r="L26" s="9">
        <v>1513</v>
      </c>
      <c r="M26" s="9">
        <v>1900.6</v>
      </c>
      <c r="N26" s="9">
        <v>2135.8000000000002</v>
      </c>
    </row>
    <row r="27" spans="2:15" x14ac:dyDescent="0.25">
      <c r="B27" s="15" t="s">
        <v>0</v>
      </c>
      <c r="C27" s="27">
        <f t="shared" ref="C27:K27" si="2">SUM(C19:C26)</f>
        <v>12382.799999999997</v>
      </c>
      <c r="D27" s="27">
        <f t="shared" si="2"/>
        <v>10079.799999999999</v>
      </c>
      <c r="E27" s="27">
        <f t="shared" si="2"/>
        <v>11865.5</v>
      </c>
      <c r="F27" s="27">
        <f t="shared" si="2"/>
        <v>11898.2</v>
      </c>
      <c r="G27" s="27">
        <f t="shared" si="2"/>
        <v>12830.499999999998</v>
      </c>
      <c r="H27" s="27">
        <f t="shared" si="2"/>
        <v>12206.1</v>
      </c>
      <c r="I27" s="27">
        <f t="shared" si="2"/>
        <v>13550.499999999998</v>
      </c>
      <c r="J27" s="27">
        <f t="shared" si="2"/>
        <v>12753.800000000001</v>
      </c>
      <c r="K27" s="27">
        <f t="shared" si="2"/>
        <v>11358.700000000003</v>
      </c>
      <c r="L27" s="27">
        <f>SUM(L19:L26)</f>
        <v>13545.7</v>
      </c>
      <c r="M27" s="27">
        <f>SUM(M19:M26)</f>
        <v>13671.3</v>
      </c>
      <c r="N27" s="27">
        <f>SUM(N19:N26)</f>
        <v>15186.100000000002</v>
      </c>
    </row>
    <row r="28" spans="2:15" x14ac:dyDescent="0.25">
      <c r="O28" s="31"/>
    </row>
  </sheetData>
  <mergeCells count="2">
    <mergeCell ref="B2:N2"/>
    <mergeCell ref="B17:N17"/>
  </mergeCells>
  <pageMargins left="0.19685039370078741" right="0.19685039370078741" top="0.74803149606299213" bottom="0.74803149606299213" header="0.31496062992125984" footer="0.31496062992125984"/>
  <pageSetup paperSize="9" scale="8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Waste Data &amp; Service Charg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Nipuni Prathibha</dc:creator>
  <cp:lastModifiedBy>USER</cp:lastModifiedBy>
  <cp:lastPrinted>2024-08-29T04:10:11Z</cp:lastPrinted>
  <dcterms:created xsi:type="dcterms:W3CDTF">2019-06-15T04:05:33Z</dcterms:created>
  <dcterms:modified xsi:type="dcterms:W3CDTF">2026-08-17T06:11:26Z</dcterms:modified>
</cp:coreProperties>
</file>
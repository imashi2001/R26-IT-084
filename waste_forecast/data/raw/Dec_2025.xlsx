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160" windowHeight="1185"/>
  </bookViews>
  <sheets>
    <sheet name="Waste Data &amp; Service Charg" sheetId="1" r:id="rId1"/>
  </sheets>
  <definedNames>
    <definedName name="OLE_LINK1" localSheetId="0">'Waste Data &amp; Service Charg'!#REF!</definedName>
  </definedNames>
  <calcPr calcId="144525"/>
  <fileRecoveryPr repairLoad="1"/>
</workbook>
</file>

<file path=xl/calcChain.xml><?xml version="1.0" encoding="utf-8"?>
<calcChain xmlns="http://schemas.openxmlformats.org/spreadsheetml/2006/main">
  <c r="N27" i="1" l="1"/>
  <c r="M27" i="1"/>
  <c r="L27" i="1"/>
  <c r="K27" i="1"/>
  <c r="J27" i="1"/>
  <c r="I27" i="1"/>
  <c r="H27" i="1"/>
  <c r="G27" i="1"/>
  <c r="F27" i="1"/>
  <c r="E27" i="1"/>
  <c r="D27" i="1"/>
  <c r="C27" i="1"/>
  <c r="N15" i="1"/>
  <c r="M15" i="1"/>
  <c r="L15" i="1"/>
  <c r="K15" i="1"/>
  <c r="J15" i="1"/>
  <c r="I15" i="1"/>
  <c r="H15" i="1"/>
  <c r="G15" i="1"/>
  <c r="F15" i="1"/>
  <c r="E15" i="1"/>
  <c r="D15" i="1"/>
  <c r="C15" i="1"/>
</calcChain>
</file>

<file path=xl/sharedStrings.xml><?xml version="1.0" encoding="utf-8"?>
<sst xmlns="http://schemas.openxmlformats.org/spreadsheetml/2006/main" count="49" uniqueCount="37">
  <si>
    <t>Total</t>
  </si>
  <si>
    <t>Moratuwa M.C.</t>
  </si>
  <si>
    <t>Boralesgamuwa U.C.</t>
  </si>
  <si>
    <t>Kesbewa U.C.</t>
  </si>
  <si>
    <t>Maharagama U.C.</t>
  </si>
  <si>
    <t>Homagama P.S.</t>
  </si>
  <si>
    <t>Sri J,puraKotte M.C.</t>
  </si>
  <si>
    <t>Total/Mt</t>
  </si>
  <si>
    <t>SOW</t>
  </si>
  <si>
    <t>Bulky Waste</t>
  </si>
  <si>
    <t>Industrial Waste</t>
  </si>
  <si>
    <t>Slaughter House Waste</t>
  </si>
  <si>
    <t>Sanitary Waste</t>
  </si>
  <si>
    <t>Institute</t>
  </si>
  <si>
    <t xml:space="preserve">Dehiwala - Mt Lavinia </t>
  </si>
  <si>
    <t>Category</t>
  </si>
  <si>
    <t>Burnable</t>
  </si>
  <si>
    <t xml:space="preserve">Total Waste Intake  </t>
  </si>
  <si>
    <t xml:space="preserve">C &amp; D </t>
  </si>
  <si>
    <t>Unburnable</t>
  </si>
  <si>
    <t>Category Vise</t>
  </si>
  <si>
    <t xml:space="preserve">Kothalawala Defence University </t>
  </si>
  <si>
    <t xml:space="preserve">Other </t>
  </si>
  <si>
    <t>Kothalawala Defence Hospital</t>
  </si>
  <si>
    <t>Jan_2025</t>
  </si>
  <si>
    <t>Feb_2025</t>
  </si>
  <si>
    <t>Mar_2025</t>
  </si>
  <si>
    <t>Apr_2025</t>
  </si>
  <si>
    <t>May_2025</t>
  </si>
  <si>
    <t>June_2025</t>
  </si>
  <si>
    <t>July_2025</t>
  </si>
  <si>
    <t>Aug_2025</t>
  </si>
  <si>
    <t>Sep_2025</t>
  </si>
  <si>
    <t>Oct_2025</t>
  </si>
  <si>
    <t>Nov_2025</t>
  </si>
  <si>
    <t>ND Akuregoda</t>
  </si>
  <si>
    <t>Dec_2025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</si>
</sst>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7" fillId="0" borderId="0" xfId="0" applyFont="1"/>
    <xf numFmtId="164" fontId="7" fillId="0" borderId="0" xfId="0" applyNumberFormat="1" applyFont="1" applyAlignment="1">
      <alignment horizontal="center" vertical="center"/>
    </xf>
    <xf numFmtId="164" fontId="7" fillId="0" borderId="0" xfId="1" applyFont="1" applyAlignment="1">
      <alignment horizontal="center" vertical="center"/>
    </xf>
    <xf numFmtId="164" fontId="7" fillId="0" borderId="0" xfId="1" applyFont="1"/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0" fillId="0" borderId="1" xfId="1" applyFont="1" applyBorder="1"/>
    <xf numFmtId="4" fontId="6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6" fillId="0" borderId="1" xfId="0" applyFont="1" applyBorder="1" applyAlignment="1">
      <alignment wrapText="1"/>
    </xf>
    <xf numFmtId="0" fontId="0" fillId="0" borderId="0" xfId="0" applyFont="1"/>
    <xf numFmtId="164" fontId="0" fillId="0" borderId="0" xfId="0" applyNumberFormat="1" applyFont="1"/>
    <xf numFmtId="0" fontId="0" fillId="0" borderId="0" xfId="0" applyFont="1" applyFill="1"/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left" wrapText="1"/>
    </xf>
    <xf numFmtId="0" fontId="0" fillId="0" borderId="0" xfId="0" applyFont="1" applyBorder="1"/>
    <xf numFmtId="0" fontId="0" fillId="0" borderId="1" xfId="0" applyBorder="1" applyAlignment="1">
      <alignment horizontal="right" vertical="center" wrapText="1"/>
    </xf>
    <xf numFmtId="164" fontId="0" fillId="0" borderId="0" xfId="0" applyNumberFormat="1" applyFont="1" applyFill="1"/>
    <xf numFmtId="164" fontId="6" fillId="0" borderId="1" xfId="1" applyFont="1" applyBorder="1"/>
    <xf numFmtId="164" fontId="6" fillId="0" borderId="1" xfId="1" applyFont="1" applyBorder="1" applyAlignment="1">
      <alignment horizontal="right" vertical="center" wrapText="1"/>
    </xf>
    <xf numFmtId="0" fontId="0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/>
    </xf>
    <xf numFmtId="164" fontId="8" fillId="0" borderId="1" xfId="1" applyFont="1" applyBorder="1" applyAlignment="1">
      <alignment horizontal="center" vertical="center" wrapText="1"/>
    </xf>
    <xf numFmtId="0" fontId="6" fillId="0" borderId="0" xfId="0" applyFont="1" applyBorder="1" applyAlignment="1"/>
    <xf numFmtId="2" fontId="0" fillId="0" borderId="1" xfId="0" applyNumberFormat="1" applyFont="1" applyBorder="1"/>
    <xf numFmtId="2" fontId="0" fillId="0" borderId="1" xfId="0" applyNumberFormat="1" applyBorder="1" applyAlignment="1">
      <alignment horizontal="right" vertical="center" wrapText="1"/>
    </xf>
    <xf numFmtId="43" fontId="0" fillId="0" borderId="0" xfId="0" applyNumberFormat="1" applyFont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GB"/>
            </a:pPr>
            <a:r>
              <a:rPr lang="en-US" sz="1800" b="1" i="0" baseline="0"/>
              <a:t>Source Analysis of Total Waste Intake </a:t>
            </a:r>
            <a:endParaRPr lang="en-GB" sz="1800" b="1" i="0" baseline="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9395680494518858E-2"/>
          <c:y val="0.1745751395799095"/>
          <c:w val="0.75006391302596132"/>
          <c:h val="0.70010686586820958"/>
        </c:manualLayout>
      </c:layout>
      <c:lineChart>
        <c:grouping val="standard"/>
        <c:varyColors val="0"/>
        <c:ser>
          <c:idx val="0"/>
          <c:order val="0"/>
          <c:tx>
            <c:strRef>
              <c:f>'Waste Data &amp; Service Charg'!$B$4</c:f>
              <c:strCache>
                <c:ptCount val="1"/>
                <c:pt idx="0">
                  <c:v>Moratuwa M.C.</c:v>
                </c:pt>
              </c:strCache>
            </c:strRef>
          </c:tx>
          <c:cat>
            <c:strRef>
              <c:f>'Waste Data &amp; Service Charg'!$C$3:$N$3</c:f>
              <c:strCache>
                <c:ptCount val="12"/>
                <c:pt idx="0">
                  <c:v>Jan_2025</c:v>
                </c:pt>
                <c:pt idx="1">
                  <c:v>Feb_2025</c:v>
                </c:pt>
                <c:pt idx="2">
                  <c:v>Mar_2025</c:v>
                </c:pt>
                <c:pt idx="3">
                  <c:v>Apr_2025</c:v>
                </c:pt>
                <c:pt idx="4">
                  <c:v>May_2025</c:v>
                </c:pt>
                <c:pt idx="5">
                  <c:v>June_2025</c:v>
                </c:pt>
                <c:pt idx="6">
                  <c:v>July_2025</c:v>
                </c:pt>
                <c:pt idx="7">
                  <c:v>Aug_2025</c:v>
                </c:pt>
                <c:pt idx="8">
                  <c:v>Sep_2025</c:v>
                </c:pt>
                <c:pt idx="9">
                  <c:v>Oct_2025</c:v>
                </c:pt>
                <c:pt idx="10">
                  <c:v>Nov_2025</c:v>
                </c:pt>
                <c:pt idx="11">
                  <c:v>Dec_2025</c:v>
                </c:pt>
              </c:strCache>
            </c:strRef>
          </c:cat>
          <c:val>
            <c:numRef>
              <c:f>'Waste Data &amp; Service Charg'!$C$4:$N$4</c:f>
              <c:numCache>
                <c:formatCode>_(* #,##0.00_);_(* \(#,##0.00\);_(* "-"??_);_(@_)</c:formatCode>
                <c:ptCount val="12"/>
                <c:pt idx="0">
                  <c:v>1764.0000000000002</c:v>
                </c:pt>
                <c:pt idx="1">
                  <c:v>1515.8</c:v>
                </c:pt>
                <c:pt idx="2">
                  <c:v>1784.6000000000001</c:v>
                </c:pt>
                <c:pt idx="3">
                  <c:v>1722.8000000000002</c:v>
                </c:pt>
                <c:pt idx="4">
                  <c:v>1910.9</c:v>
                </c:pt>
                <c:pt idx="5">
                  <c:v>1939.1</c:v>
                </c:pt>
                <c:pt idx="6">
                  <c:v>2188.4</c:v>
                </c:pt>
                <c:pt idx="7">
                  <c:v>1744.7</c:v>
                </c:pt>
                <c:pt idx="8">
                  <c:v>1701.3</c:v>
                </c:pt>
                <c:pt idx="9">
                  <c:v>1892.5</c:v>
                </c:pt>
                <c:pt idx="10">
                  <c:v>1569.3999999999999</c:v>
                </c:pt>
                <c:pt idx="11">
                  <c:v>2082.3000000000002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'Waste Data &amp; Service Charg'!$B$5</c:f>
              <c:strCache>
                <c:ptCount val="1"/>
                <c:pt idx="0">
                  <c:v>Boralesgamuwa U.C.</c:v>
                </c:pt>
              </c:strCache>
            </c:strRef>
          </c:tx>
          <c:cat>
            <c:strRef>
              <c:f>'Waste Data &amp; Service Charg'!$C$3:$N$3</c:f>
              <c:strCache>
                <c:ptCount val="12"/>
                <c:pt idx="0">
                  <c:v>Jan_2025</c:v>
                </c:pt>
                <c:pt idx="1">
                  <c:v>Feb_2025</c:v>
                </c:pt>
                <c:pt idx="2">
                  <c:v>Mar_2025</c:v>
                </c:pt>
                <c:pt idx="3">
                  <c:v>Apr_2025</c:v>
                </c:pt>
                <c:pt idx="4">
                  <c:v>May_2025</c:v>
                </c:pt>
                <c:pt idx="5">
                  <c:v>June_2025</c:v>
                </c:pt>
                <c:pt idx="6">
                  <c:v>July_2025</c:v>
                </c:pt>
                <c:pt idx="7">
                  <c:v>Aug_2025</c:v>
                </c:pt>
                <c:pt idx="8">
                  <c:v>Sep_2025</c:v>
                </c:pt>
                <c:pt idx="9">
                  <c:v>Oct_2025</c:v>
                </c:pt>
                <c:pt idx="10">
                  <c:v>Nov_2025</c:v>
                </c:pt>
                <c:pt idx="11">
                  <c:v>Dec_2025</c:v>
                </c:pt>
              </c:strCache>
            </c:strRef>
          </c:cat>
          <c:val>
            <c:numRef>
              <c:f>'Waste Data &amp; Service Charg'!$C$5:$N$5</c:f>
              <c:numCache>
                <c:formatCode>_(* #,##0.00_);_(* \(#,##0.00\);_(* "-"??_);_(@_)</c:formatCode>
                <c:ptCount val="12"/>
                <c:pt idx="0">
                  <c:v>888.9</c:v>
                </c:pt>
                <c:pt idx="1">
                  <c:v>723.1</c:v>
                </c:pt>
                <c:pt idx="2">
                  <c:v>892.1</c:v>
                </c:pt>
                <c:pt idx="3">
                  <c:v>900.8</c:v>
                </c:pt>
                <c:pt idx="4">
                  <c:v>967</c:v>
                </c:pt>
                <c:pt idx="5">
                  <c:v>891.59999999999991</c:v>
                </c:pt>
                <c:pt idx="6">
                  <c:v>959.7</c:v>
                </c:pt>
                <c:pt idx="7">
                  <c:v>895.40000000000009</c:v>
                </c:pt>
                <c:pt idx="8">
                  <c:v>913.09999999999991</c:v>
                </c:pt>
                <c:pt idx="9">
                  <c:v>1010.1</c:v>
                </c:pt>
                <c:pt idx="10">
                  <c:v>896.7</c:v>
                </c:pt>
                <c:pt idx="11">
                  <c:v>1075.8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'Waste Data &amp; Service Charg'!$B$6</c:f>
              <c:strCache>
                <c:ptCount val="1"/>
                <c:pt idx="0">
                  <c:v>Kesbewa U.C.</c:v>
                </c:pt>
              </c:strCache>
            </c:strRef>
          </c:tx>
          <c:cat>
            <c:strRef>
              <c:f>'Waste Data &amp; Service Charg'!$C$3:$N$3</c:f>
              <c:strCache>
                <c:ptCount val="12"/>
                <c:pt idx="0">
                  <c:v>Jan_2025</c:v>
                </c:pt>
                <c:pt idx="1">
                  <c:v>Feb_2025</c:v>
                </c:pt>
                <c:pt idx="2">
                  <c:v>Mar_2025</c:v>
                </c:pt>
                <c:pt idx="3">
                  <c:v>Apr_2025</c:v>
                </c:pt>
                <c:pt idx="4">
                  <c:v>May_2025</c:v>
                </c:pt>
                <c:pt idx="5">
                  <c:v>June_2025</c:v>
                </c:pt>
                <c:pt idx="6">
                  <c:v>July_2025</c:v>
                </c:pt>
                <c:pt idx="7">
                  <c:v>Aug_2025</c:v>
                </c:pt>
                <c:pt idx="8">
                  <c:v>Sep_2025</c:v>
                </c:pt>
                <c:pt idx="9">
                  <c:v>Oct_2025</c:v>
                </c:pt>
                <c:pt idx="10">
                  <c:v>Nov_2025</c:v>
                </c:pt>
                <c:pt idx="11">
                  <c:v>Dec_2025</c:v>
                </c:pt>
              </c:strCache>
            </c:strRef>
          </c:cat>
          <c:val>
            <c:numRef>
              <c:f>'Waste Data &amp; Service Charg'!$C$6:$N$6</c:f>
              <c:numCache>
                <c:formatCode>_(* #,##0.00_);_(* \(#,##0.00\);_(* "-"??_);_(@_)</c:formatCode>
                <c:ptCount val="12"/>
                <c:pt idx="0">
                  <c:v>1983.1</c:v>
                </c:pt>
                <c:pt idx="1">
                  <c:v>1658.1</c:v>
                </c:pt>
                <c:pt idx="2">
                  <c:v>1923.5</c:v>
                </c:pt>
                <c:pt idx="3">
                  <c:v>1961.8</c:v>
                </c:pt>
                <c:pt idx="4">
                  <c:v>2160.5</c:v>
                </c:pt>
                <c:pt idx="5">
                  <c:v>1903</c:v>
                </c:pt>
                <c:pt idx="6">
                  <c:v>2013.2000000000003</c:v>
                </c:pt>
                <c:pt idx="7">
                  <c:v>1782.8</c:v>
                </c:pt>
                <c:pt idx="8">
                  <c:v>1896.2</c:v>
                </c:pt>
                <c:pt idx="9">
                  <c:v>2009.8000000000002</c:v>
                </c:pt>
                <c:pt idx="10">
                  <c:v>1956.7</c:v>
                </c:pt>
                <c:pt idx="11">
                  <c:v>2114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'Waste Data &amp; Service Charg'!$B$7</c:f>
              <c:strCache>
                <c:ptCount val="1"/>
                <c:pt idx="0">
                  <c:v>Dehiwala - Mt Lavinia </c:v>
                </c:pt>
              </c:strCache>
            </c:strRef>
          </c:tx>
          <c:cat>
            <c:strRef>
              <c:f>'Waste Data &amp; Service Charg'!$C$3:$N$3</c:f>
              <c:strCache>
                <c:ptCount val="12"/>
                <c:pt idx="0">
                  <c:v>Jan_2025</c:v>
                </c:pt>
                <c:pt idx="1">
                  <c:v>Feb_2025</c:v>
                </c:pt>
                <c:pt idx="2">
                  <c:v>Mar_2025</c:v>
                </c:pt>
                <c:pt idx="3">
                  <c:v>Apr_2025</c:v>
                </c:pt>
                <c:pt idx="4">
                  <c:v>May_2025</c:v>
                </c:pt>
                <c:pt idx="5">
                  <c:v>June_2025</c:v>
                </c:pt>
                <c:pt idx="6">
                  <c:v>July_2025</c:v>
                </c:pt>
                <c:pt idx="7">
                  <c:v>Aug_2025</c:v>
                </c:pt>
                <c:pt idx="8">
                  <c:v>Sep_2025</c:v>
                </c:pt>
                <c:pt idx="9">
                  <c:v>Oct_2025</c:v>
                </c:pt>
                <c:pt idx="10">
                  <c:v>Nov_2025</c:v>
                </c:pt>
                <c:pt idx="11">
                  <c:v>Dec_2025</c:v>
                </c:pt>
              </c:strCache>
            </c:strRef>
          </c:cat>
          <c:val>
            <c:numRef>
              <c:f>'Waste Data &amp; Service Charg'!$C$7:$N$7</c:f>
              <c:numCache>
                <c:formatCode>_(* #,##0.00_);_(* \(#,##0.00\);_(* "-"??_);_(@_)</c:formatCode>
                <c:ptCount val="12"/>
                <c:pt idx="0">
                  <c:v>3428.9</c:v>
                </c:pt>
                <c:pt idx="1">
                  <c:v>2859.1</c:v>
                </c:pt>
                <c:pt idx="2">
                  <c:v>3525.8999999999996</c:v>
                </c:pt>
                <c:pt idx="3">
                  <c:v>3420.2</c:v>
                </c:pt>
                <c:pt idx="4">
                  <c:v>3644.8</c:v>
                </c:pt>
                <c:pt idx="5">
                  <c:v>3591.7000000000003</c:v>
                </c:pt>
                <c:pt idx="6">
                  <c:v>3750.3000000000006</c:v>
                </c:pt>
                <c:pt idx="7">
                  <c:v>3376.2</c:v>
                </c:pt>
                <c:pt idx="8">
                  <c:v>3463.4</c:v>
                </c:pt>
                <c:pt idx="9">
                  <c:v>3830.2000000000003</c:v>
                </c:pt>
                <c:pt idx="10">
                  <c:v>3224.1</c:v>
                </c:pt>
                <c:pt idx="11">
                  <c:v>4037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'Waste Data &amp; Service Charg'!$B$8</c:f>
              <c:strCache>
                <c:ptCount val="1"/>
                <c:pt idx="0">
                  <c:v>Sri J,puraKotte M.C.</c:v>
                </c:pt>
              </c:strCache>
            </c:strRef>
          </c:tx>
          <c:cat>
            <c:strRef>
              <c:f>'Waste Data &amp; Service Charg'!$C$3:$N$3</c:f>
              <c:strCache>
                <c:ptCount val="12"/>
                <c:pt idx="0">
                  <c:v>Jan_2025</c:v>
                </c:pt>
                <c:pt idx="1">
                  <c:v>Feb_2025</c:v>
                </c:pt>
                <c:pt idx="2">
                  <c:v>Mar_2025</c:v>
                </c:pt>
                <c:pt idx="3">
                  <c:v>Apr_2025</c:v>
                </c:pt>
                <c:pt idx="4">
                  <c:v>May_2025</c:v>
                </c:pt>
                <c:pt idx="5">
                  <c:v>June_2025</c:v>
                </c:pt>
                <c:pt idx="6">
                  <c:v>July_2025</c:v>
                </c:pt>
                <c:pt idx="7">
                  <c:v>Aug_2025</c:v>
                </c:pt>
                <c:pt idx="8">
                  <c:v>Sep_2025</c:v>
                </c:pt>
                <c:pt idx="9">
                  <c:v>Oct_2025</c:v>
                </c:pt>
                <c:pt idx="10">
                  <c:v>Nov_2025</c:v>
                </c:pt>
                <c:pt idx="11">
                  <c:v>Dec_2025</c:v>
                </c:pt>
              </c:strCache>
            </c:strRef>
          </c:cat>
          <c:val>
            <c:numRef>
              <c:f>'Waste Data &amp; Service Charg'!$C$8:$N$8</c:f>
              <c:numCache>
                <c:formatCode>_(* #,##0.00_);_(* \(#,##0.00\);_(* "-"??_);_(@_)</c:formatCode>
                <c:ptCount val="12"/>
                <c:pt idx="0">
                  <c:v>1142.4000000000001</c:v>
                </c:pt>
                <c:pt idx="1">
                  <c:v>988.19999999999993</c:v>
                </c:pt>
                <c:pt idx="2">
                  <c:v>1167.3</c:v>
                </c:pt>
                <c:pt idx="3">
                  <c:v>1009.8</c:v>
                </c:pt>
                <c:pt idx="4">
                  <c:v>1074.3</c:v>
                </c:pt>
                <c:pt idx="5">
                  <c:v>1110.9000000000001</c:v>
                </c:pt>
                <c:pt idx="6">
                  <c:v>1358.0000000000002</c:v>
                </c:pt>
                <c:pt idx="7">
                  <c:v>1128.0999999999999</c:v>
                </c:pt>
                <c:pt idx="8">
                  <c:v>1185.3999999999999</c:v>
                </c:pt>
                <c:pt idx="9">
                  <c:v>1431.7</c:v>
                </c:pt>
                <c:pt idx="10">
                  <c:v>1192.5999999999999</c:v>
                </c:pt>
                <c:pt idx="11">
                  <c:v>1413.1000000000001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'Waste Data &amp; Service Charg'!$B$9</c:f>
              <c:strCache>
                <c:ptCount val="1"/>
                <c:pt idx="0">
                  <c:v>Maharagama U.C.</c:v>
                </c:pt>
              </c:strCache>
            </c:strRef>
          </c:tx>
          <c:cat>
            <c:strRef>
              <c:f>'Waste Data &amp; Service Charg'!$C$3:$N$3</c:f>
              <c:strCache>
                <c:ptCount val="12"/>
                <c:pt idx="0">
                  <c:v>Jan_2025</c:v>
                </c:pt>
                <c:pt idx="1">
                  <c:v>Feb_2025</c:v>
                </c:pt>
                <c:pt idx="2">
                  <c:v>Mar_2025</c:v>
                </c:pt>
                <c:pt idx="3">
                  <c:v>Apr_2025</c:v>
                </c:pt>
                <c:pt idx="4">
                  <c:v>May_2025</c:v>
                </c:pt>
                <c:pt idx="5">
                  <c:v>June_2025</c:v>
                </c:pt>
                <c:pt idx="6">
                  <c:v>July_2025</c:v>
                </c:pt>
                <c:pt idx="7">
                  <c:v>Aug_2025</c:v>
                </c:pt>
                <c:pt idx="8">
                  <c:v>Sep_2025</c:v>
                </c:pt>
                <c:pt idx="9">
                  <c:v>Oct_2025</c:v>
                </c:pt>
                <c:pt idx="10">
                  <c:v>Nov_2025</c:v>
                </c:pt>
                <c:pt idx="11">
                  <c:v>Dec_2025</c:v>
                </c:pt>
              </c:strCache>
            </c:strRef>
          </c:cat>
          <c:val>
            <c:numRef>
              <c:f>'Waste Data &amp; Service Charg'!$C$9:$N$9</c:f>
              <c:numCache>
                <c:formatCode>_(* #,##0.00_);_(* \(#,##0.00\);_(* "-"??_);_(@_)</c:formatCode>
                <c:ptCount val="12"/>
                <c:pt idx="0">
                  <c:v>2708.3</c:v>
                </c:pt>
                <c:pt idx="1">
                  <c:v>1547.6000000000001</c:v>
                </c:pt>
                <c:pt idx="2">
                  <c:v>2414.7999999999997</c:v>
                </c:pt>
                <c:pt idx="3">
                  <c:v>2393.1999999999998</c:v>
                </c:pt>
                <c:pt idx="4">
                  <c:v>2841.2</c:v>
                </c:pt>
                <c:pt idx="5">
                  <c:v>2817.2999999999997</c:v>
                </c:pt>
                <c:pt idx="6">
                  <c:v>2906.3</c:v>
                </c:pt>
                <c:pt idx="7">
                  <c:v>2533</c:v>
                </c:pt>
                <c:pt idx="8">
                  <c:v>2607.3999999999996</c:v>
                </c:pt>
                <c:pt idx="9">
                  <c:v>2748.2000000000003</c:v>
                </c:pt>
                <c:pt idx="10">
                  <c:v>2483.2000000000003</c:v>
                </c:pt>
                <c:pt idx="11">
                  <c:v>3022.8999999999996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'Waste Data &amp; Service Charg'!$B$10</c:f>
              <c:strCache>
                <c:ptCount val="1"/>
                <c:pt idx="0">
                  <c:v>Homagama P.S.</c:v>
                </c:pt>
              </c:strCache>
            </c:strRef>
          </c:tx>
          <c:cat>
            <c:strRef>
              <c:f>'Waste Data &amp; Service Charg'!$C$3:$N$3</c:f>
              <c:strCache>
                <c:ptCount val="12"/>
                <c:pt idx="0">
                  <c:v>Jan_2025</c:v>
                </c:pt>
                <c:pt idx="1">
                  <c:v>Feb_2025</c:v>
                </c:pt>
                <c:pt idx="2">
                  <c:v>Mar_2025</c:v>
                </c:pt>
                <c:pt idx="3">
                  <c:v>Apr_2025</c:v>
                </c:pt>
                <c:pt idx="4">
                  <c:v>May_2025</c:v>
                </c:pt>
                <c:pt idx="5">
                  <c:v>June_2025</c:v>
                </c:pt>
                <c:pt idx="6">
                  <c:v>July_2025</c:v>
                </c:pt>
                <c:pt idx="7">
                  <c:v>Aug_2025</c:v>
                </c:pt>
                <c:pt idx="8">
                  <c:v>Sep_2025</c:v>
                </c:pt>
                <c:pt idx="9">
                  <c:v>Oct_2025</c:v>
                </c:pt>
                <c:pt idx="10">
                  <c:v>Nov_2025</c:v>
                </c:pt>
                <c:pt idx="11">
                  <c:v>Dec_2025</c:v>
                </c:pt>
              </c:strCache>
            </c:strRef>
          </c:cat>
          <c:val>
            <c:numRef>
              <c:f>'Waste Data &amp; Service Charg'!$C$10:$N$10</c:f>
              <c:numCache>
                <c:formatCode>General</c:formatCode>
                <c:ptCount val="12"/>
                <c:pt idx="0" formatCode="_(* #,##0.00_);_(* \(#,##0.00\);_(* &quot;-&quot;??_);_(@_)">
                  <c:v>179.9</c:v>
                </c:pt>
                <c:pt idx="1">
                  <c:v>0</c:v>
                </c:pt>
                <c:pt idx="2">
                  <c:v>0</c:v>
                </c:pt>
                <c:pt idx="3" formatCode="_(* #,##0.00_);_(* \(#,##0.00\);_(* &quot;-&quot;??_);_(@_)">
                  <c:v>20.6</c:v>
                </c:pt>
                <c:pt idx="4" formatCode="_(* #,##0.00_);_(* \(#,##0.00\);_(* &quot;-&quot;??_);_(@_)">
                  <c:v>286.10000000000002</c:v>
                </c:pt>
                <c:pt idx="5" formatCode="_(* #,##0.00_);_(* \(#,##0.00\);_(* &quot;-&quot;??_);_(@_)">
                  <c:v>346.9</c:v>
                </c:pt>
                <c:pt idx="6" formatCode="_(* #,##0.00_);_(* \(#,##0.00\);_(* &quot;-&quot;??_);_(@_)">
                  <c:v>416.9</c:v>
                </c:pt>
                <c:pt idx="7" formatCode="_(* #,##0.00_);_(* \(#,##0.00\);_(* &quot;-&quot;??_);_(@_)">
                  <c:v>345.6</c:v>
                </c:pt>
                <c:pt idx="8" formatCode="_(* #,##0.00_);_(* \(#,##0.00\);_(* &quot;-&quot;??_);_(@_)">
                  <c:v>354.3</c:v>
                </c:pt>
                <c:pt idx="9" formatCode="_(* #,##0.00_);_(* \(#,##0.00\);_(* &quot;-&quot;??_);_(@_)">
                  <c:v>383.8</c:v>
                </c:pt>
                <c:pt idx="10" formatCode="_(* #,##0.00_);_(* \(#,##0.00\);_(* &quot;-&quot;??_);_(@_)">
                  <c:v>298.3</c:v>
                </c:pt>
                <c:pt idx="11" formatCode="_(* #,##0.00_);_(* \(#,##0.00\);_(* &quot;-&quot;??_);_(@_)">
                  <c:v>368.8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99008"/>
        <c:axId val="163305088"/>
      </c:lineChart>
      <c:catAx>
        <c:axId val="1298990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63305088"/>
        <c:crosses val="autoZero"/>
        <c:auto val="1"/>
        <c:lblAlgn val="ctr"/>
        <c:lblOffset val="100"/>
        <c:noMultiLvlLbl val="0"/>
      </c:catAx>
      <c:valAx>
        <c:axId val="16330508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29899008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/>
              <a:t>Waste Categories Vs Monthly waste intake </a:t>
            </a:r>
            <a:endParaRPr lang="en-GB" sz="1800" b="1" i="0" baseline="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'Waste Data &amp; Service Charg'!$B$19</c:f>
              <c:strCache>
                <c:ptCount val="1"/>
                <c:pt idx="0">
                  <c:v>Unburnable</c:v>
                </c:pt>
              </c:strCache>
            </c:strRef>
          </c:tx>
          <c:cat>
            <c:strRef>
              <c:f>'Waste Data &amp; Service Charg'!$C$18:$N$18</c:f>
              <c:strCache>
                <c:ptCount val="12"/>
                <c:pt idx="0">
                  <c:v>Jan_2025</c:v>
                </c:pt>
                <c:pt idx="1">
                  <c:v>Feb_2025</c:v>
                </c:pt>
                <c:pt idx="2">
                  <c:v>Mar_2025</c:v>
                </c:pt>
                <c:pt idx="3">
                  <c:v>Apr_2025</c:v>
                </c:pt>
                <c:pt idx="4">
                  <c:v>May_2025</c:v>
                </c:pt>
                <c:pt idx="5">
                  <c:v>June_2025</c:v>
                </c:pt>
                <c:pt idx="6">
                  <c:v>July_2025</c:v>
                </c:pt>
                <c:pt idx="7">
                  <c:v>Aug_2025</c:v>
                </c:pt>
                <c:pt idx="8">
                  <c:v>Sep_2025</c:v>
                </c:pt>
                <c:pt idx="9">
                  <c:v>Oct_2025</c:v>
                </c:pt>
                <c:pt idx="10">
                  <c:v>Nov_2025</c:v>
                </c:pt>
                <c:pt idx="11">
                  <c:v>Dec_2025</c:v>
                </c:pt>
              </c:strCache>
            </c:strRef>
          </c:cat>
          <c:val>
            <c:numRef>
              <c:f>'Waste Data &amp; Service Charg'!$C$19:$N$19</c:f>
              <c:numCache>
                <c:formatCode>_(* #,##0.00_);_(* \(#,##0.00\);_(* "-"??_);_(@_)</c:formatCode>
                <c:ptCount val="12"/>
                <c:pt idx="0">
                  <c:v>950.19999999999993</c:v>
                </c:pt>
                <c:pt idx="1">
                  <c:v>377.90000000000003</c:v>
                </c:pt>
                <c:pt idx="2">
                  <c:v>571.59999999999991</c:v>
                </c:pt>
                <c:pt idx="3" formatCode="General">
                  <c:v>1088.7</c:v>
                </c:pt>
                <c:pt idx="4" formatCode="General">
                  <c:v>2398.4999999999995</c:v>
                </c:pt>
                <c:pt idx="5">
                  <c:v>1288.8999999999999</c:v>
                </c:pt>
                <c:pt idx="6">
                  <c:v>1004</c:v>
                </c:pt>
                <c:pt idx="7" formatCode="0.00">
                  <c:v>811.89999999999986</c:v>
                </c:pt>
                <c:pt idx="8" formatCode="0.00">
                  <c:v>865.8</c:v>
                </c:pt>
                <c:pt idx="9" formatCode="0.00">
                  <c:v>1092</c:v>
                </c:pt>
                <c:pt idx="10" formatCode="0.00">
                  <c:v>858.30000000000007</c:v>
                </c:pt>
                <c:pt idx="11" formatCode="0.00">
                  <c:v>1047.7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'Waste Data &amp; Service Charg'!$B$20</c:f>
              <c:strCache>
                <c:ptCount val="1"/>
                <c:pt idx="0">
                  <c:v>SOW</c:v>
                </c:pt>
              </c:strCache>
            </c:strRef>
          </c:tx>
          <c:cat>
            <c:strRef>
              <c:f>'Waste Data &amp; Service Charg'!$C$18:$N$18</c:f>
              <c:strCache>
                <c:ptCount val="12"/>
                <c:pt idx="0">
                  <c:v>Jan_2025</c:v>
                </c:pt>
                <c:pt idx="1">
                  <c:v>Feb_2025</c:v>
                </c:pt>
                <c:pt idx="2">
                  <c:v>Mar_2025</c:v>
                </c:pt>
                <c:pt idx="3">
                  <c:v>Apr_2025</c:v>
                </c:pt>
                <c:pt idx="4">
                  <c:v>May_2025</c:v>
                </c:pt>
                <c:pt idx="5">
                  <c:v>June_2025</c:v>
                </c:pt>
                <c:pt idx="6">
                  <c:v>July_2025</c:v>
                </c:pt>
                <c:pt idx="7">
                  <c:v>Aug_2025</c:v>
                </c:pt>
                <c:pt idx="8">
                  <c:v>Sep_2025</c:v>
                </c:pt>
                <c:pt idx="9">
                  <c:v>Oct_2025</c:v>
                </c:pt>
                <c:pt idx="10">
                  <c:v>Nov_2025</c:v>
                </c:pt>
                <c:pt idx="11">
                  <c:v>Dec_2025</c:v>
                </c:pt>
              </c:strCache>
            </c:strRef>
          </c:cat>
          <c:val>
            <c:numRef>
              <c:f>'Waste Data &amp; Service Charg'!$C$20:$N$20</c:f>
              <c:numCache>
                <c:formatCode>_(* #,##0.00_);_(* \(#,##0.00\);_(* "-"??_);_(@_)</c:formatCode>
                <c:ptCount val="12"/>
                <c:pt idx="0">
                  <c:v>6334.7</c:v>
                </c:pt>
                <c:pt idx="1">
                  <c:v>5301.0999999999995</c:v>
                </c:pt>
                <c:pt idx="2">
                  <c:v>6834.9</c:v>
                </c:pt>
                <c:pt idx="3" formatCode="General">
                  <c:v>6307.5999999999995</c:v>
                </c:pt>
                <c:pt idx="4" formatCode="General">
                  <c:v>6728.0000000000009</c:v>
                </c:pt>
                <c:pt idx="5">
                  <c:v>7126.4</c:v>
                </c:pt>
                <c:pt idx="6">
                  <c:v>7680.5</c:v>
                </c:pt>
                <c:pt idx="7" formatCode="0.00">
                  <c:v>6670.5</c:v>
                </c:pt>
                <c:pt idx="8" formatCode="0.00">
                  <c:v>7280.5999999999995</c:v>
                </c:pt>
                <c:pt idx="9" formatCode="0.00">
                  <c:v>7563.2</c:v>
                </c:pt>
                <c:pt idx="10" formatCode="0.00">
                  <c:v>6513.7000000000007</c:v>
                </c:pt>
                <c:pt idx="11" formatCode="0.00">
                  <c:v>7717.7000000000007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'Waste Data &amp; Service Charg'!$B$21</c:f>
              <c:strCache>
                <c:ptCount val="1"/>
                <c:pt idx="0">
                  <c:v>Burnable</c:v>
                </c:pt>
              </c:strCache>
            </c:strRef>
          </c:tx>
          <c:cat>
            <c:strRef>
              <c:f>'Waste Data &amp; Service Charg'!$C$18:$N$18</c:f>
              <c:strCache>
                <c:ptCount val="12"/>
                <c:pt idx="0">
                  <c:v>Jan_2025</c:v>
                </c:pt>
                <c:pt idx="1">
                  <c:v>Feb_2025</c:v>
                </c:pt>
                <c:pt idx="2">
                  <c:v>Mar_2025</c:v>
                </c:pt>
                <c:pt idx="3">
                  <c:v>Apr_2025</c:v>
                </c:pt>
                <c:pt idx="4">
                  <c:v>May_2025</c:v>
                </c:pt>
                <c:pt idx="5">
                  <c:v>June_2025</c:v>
                </c:pt>
                <c:pt idx="6">
                  <c:v>July_2025</c:v>
                </c:pt>
                <c:pt idx="7">
                  <c:v>Aug_2025</c:v>
                </c:pt>
                <c:pt idx="8">
                  <c:v>Sep_2025</c:v>
                </c:pt>
                <c:pt idx="9">
                  <c:v>Oct_2025</c:v>
                </c:pt>
                <c:pt idx="10">
                  <c:v>Nov_2025</c:v>
                </c:pt>
                <c:pt idx="11">
                  <c:v>Dec_2025</c:v>
                </c:pt>
              </c:strCache>
            </c:strRef>
          </c:cat>
          <c:val>
            <c:numRef>
              <c:f>'Waste Data &amp; Service Charg'!$C$21:$N$21</c:f>
              <c:numCache>
                <c:formatCode>_(* #,##0.00_);_(* \(#,##0.00\);_(* "-"??_);_(@_)</c:formatCode>
                <c:ptCount val="12"/>
                <c:pt idx="0">
                  <c:v>4278.1000000000004</c:v>
                </c:pt>
                <c:pt idx="1">
                  <c:v>3131.9</c:v>
                </c:pt>
                <c:pt idx="2">
                  <c:v>3839.2</c:v>
                </c:pt>
                <c:pt idx="3" formatCode="General">
                  <c:v>3613.6000000000004</c:v>
                </c:pt>
                <c:pt idx="4" formatCode="General">
                  <c:v>3295.8999999999996</c:v>
                </c:pt>
                <c:pt idx="5">
                  <c:v>3382.3999999999996</c:v>
                </c:pt>
                <c:pt idx="6">
                  <c:v>4032.1</c:v>
                </c:pt>
                <c:pt idx="7" formatCode="0.00">
                  <c:v>3648.2999999999997</c:v>
                </c:pt>
                <c:pt idx="8" formatCode="0.00">
                  <c:v>3543.5</c:v>
                </c:pt>
                <c:pt idx="9" formatCode="0.00">
                  <c:v>4109.8999999999996</c:v>
                </c:pt>
                <c:pt idx="10" formatCode="0.00">
                  <c:v>3740.1</c:v>
                </c:pt>
                <c:pt idx="11" formatCode="0.00">
                  <c:v>4717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'Waste Data &amp; Service Charg'!$B$22</c:f>
              <c:strCache>
                <c:ptCount val="1"/>
                <c:pt idx="0">
                  <c:v>Bulky Waste</c:v>
                </c:pt>
              </c:strCache>
            </c:strRef>
          </c:tx>
          <c:cat>
            <c:strRef>
              <c:f>'Waste Data &amp; Service Charg'!$C$18:$N$18</c:f>
              <c:strCache>
                <c:ptCount val="12"/>
                <c:pt idx="0">
                  <c:v>Jan_2025</c:v>
                </c:pt>
                <c:pt idx="1">
                  <c:v>Feb_2025</c:v>
                </c:pt>
                <c:pt idx="2">
                  <c:v>Mar_2025</c:v>
                </c:pt>
                <c:pt idx="3">
                  <c:v>Apr_2025</c:v>
                </c:pt>
                <c:pt idx="4">
                  <c:v>May_2025</c:v>
                </c:pt>
                <c:pt idx="5">
                  <c:v>June_2025</c:v>
                </c:pt>
                <c:pt idx="6">
                  <c:v>July_2025</c:v>
                </c:pt>
                <c:pt idx="7">
                  <c:v>Aug_2025</c:v>
                </c:pt>
                <c:pt idx="8">
                  <c:v>Sep_2025</c:v>
                </c:pt>
                <c:pt idx="9">
                  <c:v>Oct_2025</c:v>
                </c:pt>
                <c:pt idx="10">
                  <c:v>Nov_2025</c:v>
                </c:pt>
                <c:pt idx="11">
                  <c:v>Dec_2025</c:v>
                </c:pt>
              </c:strCache>
            </c:strRef>
          </c:cat>
          <c:val>
            <c:numRef>
              <c:f>'Waste Data &amp; Service Charg'!$C$22:$N$22</c:f>
              <c:numCache>
                <c:formatCode>_(* #,##0.00_);_(* \(#,##0.00\);_(* "-"??_);_(@_)</c:formatCode>
                <c:ptCount val="12"/>
                <c:pt idx="0">
                  <c:v>399</c:v>
                </c:pt>
                <c:pt idx="1">
                  <c:v>377.7</c:v>
                </c:pt>
                <c:pt idx="2">
                  <c:v>351.4</c:v>
                </c:pt>
                <c:pt idx="3" formatCode="General">
                  <c:v>313.99999999999994</c:v>
                </c:pt>
                <c:pt idx="4" formatCode="General">
                  <c:v>339.09999999999997</c:v>
                </c:pt>
                <c:pt idx="5">
                  <c:v>676.5</c:v>
                </c:pt>
                <c:pt idx="6">
                  <c:v>697.69999999999993</c:v>
                </c:pt>
                <c:pt idx="7" formatCode="0.00">
                  <c:v>514.20000000000005</c:v>
                </c:pt>
                <c:pt idx="8" formatCode="0.00">
                  <c:v>250.59999999999997</c:v>
                </c:pt>
                <c:pt idx="9" formatCode="0.00">
                  <c:v>378.69999999999993</c:v>
                </c:pt>
                <c:pt idx="10" formatCode="0.00">
                  <c:v>365.3</c:v>
                </c:pt>
                <c:pt idx="11" formatCode="0.00">
                  <c:v>438.99999999999994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'Waste Data &amp; Service Charg'!$B$23</c:f>
              <c:strCache>
                <c:ptCount val="1"/>
                <c:pt idx="0">
                  <c:v>Industrial Waste</c:v>
                </c:pt>
              </c:strCache>
            </c:strRef>
          </c:tx>
          <c:cat>
            <c:strRef>
              <c:f>'Waste Data &amp; Service Charg'!$C$18:$N$18</c:f>
              <c:strCache>
                <c:ptCount val="12"/>
                <c:pt idx="0">
                  <c:v>Jan_2025</c:v>
                </c:pt>
                <c:pt idx="1">
                  <c:v>Feb_2025</c:v>
                </c:pt>
                <c:pt idx="2">
                  <c:v>Mar_2025</c:v>
                </c:pt>
                <c:pt idx="3">
                  <c:v>Apr_2025</c:v>
                </c:pt>
                <c:pt idx="4">
                  <c:v>May_2025</c:v>
                </c:pt>
                <c:pt idx="5">
                  <c:v>June_2025</c:v>
                </c:pt>
                <c:pt idx="6">
                  <c:v>July_2025</c:v>
                </c:pt>
                <c:pt idx="7">
                  <c:v>Aug_2025</c:v>
                </c:pt>
                <c:pt idx="8">
                  <c:v>Sep_2025</c:v>
                </c:pt>
                <c:pt idx="9">
                  <c:v>Oct_2025</c:v>
                </c:pt>
                <c:pt idx="10">
                  <c:v>Nov_2025</c:v>
                </c:pt>
                <c:pt idx="11">
                  <c:v>Dec_2025</c:v>
                </c:pt>
              </c:strCache>
            </c:strRef>
          </c:cat>
          <c:val>
            <c:numRef>
              <c:f>'Waste Data &amp; Service Charg'!$C$23:$N$23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'Waste Data &amp; Service Charg'!$B$24</c:f>
              <c:strCache>
                <c:ptCount val="1"/>
                <c:pt idx="0">
                  <c:v>Slaughter House Waste</c:v>
                </c:pt>
              </c:strCache>
            </c:strRef>
          </c:tx>
          <c:cat>
            <c:strRef>
              <c:f>'Waste Data &amp; Service Charg'!$C$18:$N$18</c:f>
              <c:strCache>
                <c:ptCount val="12"/>
                <c:pt idx="0">
                  <c:v>Jan_2025</c:v>
                </c:pt>
                <c:pt idx="1">
                  <c:v>Feb_2025</c:v>
                </c:pt>
                <c:pt idx="2">
                  <c:v>Mar_2025</c:v>
                </c:pt>
                <c:pt idx="3">
                  <c:v>Apr_2025</c:v>
                </c:pt>
                <c:pt idx="4">
                  <c:v>May_2025</c:v>
                </c:pt>
                <c:pt idx="5">
                  <c:v>June_2025</c:v>
                </c:pt>
                <c:pt idx="6">
                  <c:v>July_2025</c:v>
                </c:pt>
                <c:pt idx="7">
                  <c:v>Aug_2025</c:v>
                </c:pt>
                <c:pt idx="8">
                  <c:v>Sep_2025</c:v>
                </c:pt>
                <c:pt idx="9">
                  <c:v>Oct_2025</c:v>
                </c:pt>
                <c:pt idx="10">
                  <c:v>Nov_2025</c:v>
                </c:pt>
                <c:pt idx="11">
                  <c:v>Dec_2025</c:v>
                </c:pt>
              </c:strCache>
            </c:strRef>
          </c:cat>
          <c:val>
            <c:numRef>
              <c:f>'Waste Data &amp; Service Charg'!$C$24:$N$24</c:f>
              <c:numCache>
                <c:formatCode>_(* #,##0.00_);_(* \(#,##0.00\);_(* "-"??_);_(@_)</c:formatCode>
                <c:ptCount val="12"/>
                <c:pt idx="0">
                  <c:v>165.8</c:v>
                </c:pt>
                <c:pt idx="1">
                  <c:v>130.9</c:v>
                </c:pt>
                <c:pt idx="2">
                  <c:v>145.69999999999999</c:v>
                </c:pt>
                <c:pt idx="3" formatCode="General">
                  <c:v>139.5</c:v>
                </c:pt>
                <c:pt idx="4" formatCode="General">
                  <c:v>154.69999999999999</c:v>
                </c:pt>
                <c:pt idx="5">
                  <c:v>140</c:v>
                </c:pt>
                <c:pt idx="6" formatCode="General">
                  <c:v>157.69999999999999</c:v>
                </c:pt>
                <c:pt idx="7" formatCode="0.00">
                  <c:v>139.6</c:v>
                </c:pt>
                <c:pt idx="8" formatCode="0.00">
                  <c:v>145.1</c:v>
                </c:pt>
                <c:pt idx="9" formatCode="General">
                  <c:v>141.1</c:v>
                </c:pt>
                <c:pt idx="10" formatCode="General">
                  <c:v>127.7</c:v>
                </c:pt>
                <c:pt idx="11" formatCode="General">
                  <c:v>166.9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'Waste Data &amp; Service Charg'!$B$25</c:f>
              <c:strCache>
                <c:ptCount val="1"/>
                <c:pt idx="0">
                  <c:v>Sanitary Waste</c:v>
                </c:pt>
              </c:strCache>
            </c:strRef>
          </c:tx>
          <c:cat>
            <c:strRef>
              <c:f>'Waste Data &amp; Service Charg'!$C$18:$N$18</c:f>
              <c:strCache>
                <c:ptCount val="12"/>
                <c:pt idx="0">
                  <c:v>Jan_2025</c:v>
                </c:pt>
                <c:pt idx="1">
                  <c:v>Feb_2025</c:v>
                </c:pt>
                <c:pt idx="2">
                  <c:v>Mar_2025</c:v>
                </c:pt>
                <c:pt idx="3">
                  <c:v>Apr_2025</c:v>
                </c:pt>
                <c:pt idx="4">
                  <c:v>May_2025</c:v>
                </c:pt>
                <c:pt idx="5">
                  <c:v>June_2025</c:v>
                </c:pt>
                <c:pt idx="6">
                  <c:v>July_2025</c:v>
                </c:pt>
                <c:pt idx="7">
                  <c:v>Aug_2025</c:v>
                </c:pt>
                <c:pt idx="8">
                  <c:v>Sep_2025</c:v>
                </c:pt>
                <c:pt idx="9">
                  <c:v>Oct_2025</c:v>
                </c:pt>
                <c:pt idx="10">
                  <c:v>Nov_2025</c:v>
                </c:pt>
                <c:pt idx="11">
                  <c:v>Dec_2025</c:v>
                </c:pt>
              </c:strCache>
            </c:strRef>
          </c:cat>
          <c:val>
            <c:numRef>
              <c:f>'Waste Data &amp; Service Charg'!$C$25:$N$25</c:f>
              <c:numCache>
                <c:formatCode>_(* #,##0.00_);_(* \(#,##0.00\);_(* "-"??_);_(@_)</c:formatCode>
                <c:ptCount val="12"/>
                <c:pt idx="0">
                  <c:v>8.9</c:v>
                </c:pt>
                <c:pt idx="1">
                  <c:v>7.8</c:v>
                </c:pt>
                <c:pt idx="2">
                  <c:v>8.1999999999999993</c:v>
                </c:pt>
                <c:pt idx="3" formatCode="General">
                  <c:v>6.7</c:v>
                </c:pt>
                <c:pt idx="4" formatCode="General">
                  <c:v>9.6999999999999993</c:v>
                </c:pt>
                <c:pt idx="5">
                  <c:v>19.600000000000001</c:v>
                </c:pt>
                <c:pt idx="6">
                  <c:v>63.3</c:v>
                </c:pt>
                <c:pt idx="7" formatCode="0.00">
                  <c:v>56.7</c:v>
                </c:pt>
                <c:pt idx="8" formatCode="0.00">
                  <c:v>68.099999999999994</c:v>
                </c:pt>
                <c:pt idx="9" formatCode="0.00">
                  <c:v>74.900000000000006</c:v>
                </c:pt>
                <c:pt idx="10" formatCode="General">
                  <c:v>57.3</c:v>
                </c:pt>
                <c:pt idx="11" formatCode="General">
                  <c:v>74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'Waste Data &amp; Service Charg'!$B$26</c:f>
              <c:strCache>
                <c:ptCount val="1"/>
                <c:pt idx="0">
                  <c:v>C &amp; D </c:v>
                </c:pt>
              </c:strCache>
            </c:strRef>
          </c:tx>
          <c:cat>
            <c:strRef>
              <c:f>'Waste Data &amp; Service Charg'!$C$18:$N$18</c:f>
              <c:strCache>
                <c:ptCount val="12"/>
                <c:pt idx="0">
                  <c:v>Jan_2025</c:v>
                </c:pt>
                <c:pt idx="1">
                  <c:v>Feb_2025</c:v>
                </c:pt>
                <c:pt idx="2">
                  <c:v>Mar_2025</c:v>
                </c:pt>
                <c:pt idx="3">
                  <c:v>Apr_2025</c:v>
                </c:pt>
                <c:pt idx="4">
                  <c:v>May_2025</c:v>
                </c:pt>
                <c:pt idx="5">
                  <c:v>June_2025</c:v>
                </c:pt>
                <c:pt idx="6">
                  <c:v>July_2025</c:v>
                </c:pt>
                <c:pt idx="7">
                  <c:v>Aug_2025</c:v>
                </c:pt>
                <c:pt idx="8">
                  <c:v>Sep_2025</c:v>
                </c:pt>
                <c:pt idx="9">
                  <c:v>Oct_2025</c:v>
                </c:pt>
                <c:pt idx="10">
                  <c:v>Nov_2025</c:v>
                </c:pt>
                <c:pt idx="11">
                  <c:v>Dec_2025</c:v>
                </c:pt>
              </c:strCache>
            </c:strRef>
          </c:cat>
          <c:val>
            <c:numRef>
              <c:f>'Waste Data &amp; Service Charg'!$C$26:$N$26</c:f>
              <c:numCache>
                <c:formatCode>_(* #,##0.00_);_(* \(#,##0.00\);_(* "-"??_);_(@_)</c:formatCode>
                <c:ptCount val="12"/>
                <c:pt idx="0">
                  <c:v>2333.8000000000002</c:v>
                </c:pt>
                <c:pt idx="1">
                  <c:v>2601.5</c:v>
                </c:pt>
                <c:pt idx="2">
                  <c:v>2187.1</c:v>
                </c:pt>
                <c:pt idx="3" formatCode="General">
                  <c:v>1887.87</c:v>
                </c:pt>
                <c:pt idx="4" formatCode="General">
                  <c:v>2563.1</c:v>
                </c:pt>
                <c:pt idx="5">
                  <c:v>1450.3</c:v>
                </c:pt>
                <c:pt idx="6">
                  <c:v>1490.6</c:v>
                </c:pt>
                <c:pt idx="7" formatCode="0.00">
                  <c:v>2560.1999999999998</c:v>
                </c:pt>
                <c:pt idx="8" formatCode="0.00">
                  <c:v>5700</c:v>
                </c:pt>
                <c:pt idx="9" formatCode="0.00">
                  <c:v>2780</c:v>
                </c:pt>
                <c:pt idx="10" formatCode="0.00">
                  <c:v>2650.2</c:v>
                </c:pt>
                <c:pt idx="11" formatCode="General">
                  <c:v>2840.4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984256"/>
        <c:axId val="163278784"/>
      </c:lineChart>
      <c:catAx>
        <c:axId val="16598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163278784"/>
        <c:crosses val="autoZero"/>
        <c:auto val="1"/>
        <c:lblAlgn val="ctr"/>
        <c:lblOffset val="100"/>
        <c:noMultiLvlLbl val="1"/>
      </c:catAx>
      <c:valAx>
        <c:axId val="16327878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16598425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417433</xdr:colOff>
      <xdr:row>0</xdr:row>
      <xdr:rowOff>165607</xdr:rowOff>
    </xdr:from>
    <xdr:to>
      <xdr:col>29</xdr:col>
      <xdr:colOff>571501</xdr:colOff>
      <xdr:row>16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398135</xdr:colOff>
      <xdr:row>17</xdr:row>
      <xdr:rowOff>95250</xdr:rowOff>
    </xdr:from>
    <xdr:to>
      <xdr:col>30</xdr:col>
      <xdr:colOff>39688</xdr:colOff>
      <xdr:row>28</xdr:row>
      <xdr:rowOff>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8"/>
  <sheetViews>
    <sheetView tabSelected="1" zoomScale="80" zoomScaleNormal="80" workbookViewId="0">
      <selection activeCell="O29" sqref="O29"/>
    </sheetView>
  </sheetViews>
  <sheetFormatPr defaultRowHeight="15" x14ac:dyDescent="0.25"/>
  <cols>
    <col min="1" max="1" width="1.42578125" style="15" customWidth="1"/>
    <col min="2" max="2" width="32.140625" style="15" customWidth="1"/>
    <col min="3" max="3" width="12" style="15" customWidth="1"/>
    <col min="4" max="4" width="13.7109375" style="15" customWidth="1"/>
    <col min="5" max="6" width="12.5703125" style="15" customWidth="1"/>
    <col min="7" max="7" width="11.7109375" style="15" customWidth="1"/>
    <col min="8" max="8" width="14.5703125" style="17" customWidth="1"/>
    <col min="9" max="9" width="12.42578125" style="17" customWidth="1"/>
    <col min="10" max="11" width="11.7109375" style="15" customWidth="1"/>
    <col min="12" max="12" width="11.85546875" style="15" customWidth="1"/>
    <col min="13" max="13" width="12.28515625" style="15" customWidth="1"/>
    <col min="14" max="14" width="14.42578125" style="15" customWidth="1"/>
    <col min="15" max="15" width="15.7109375" style="15" customWidth="1"/>
    <col min="16" max="16" width="14.5703125" style="15" customWidth="1"/>
    <col min="17" max="18" width="9.140625" style="15"/>
    <col min="19" max="19" width="14.7109375" style="15" customWidth="1"/>
    <col min="20" max="16384" width="9.140625" style="15"/>
  </cols>
  <sheetData>
    <row r="2" spans="2:15" ht="18.75" customHeight="1" x14ac:dyDescent="0.25">
      <c r="B2" s="33" t="s">
        <v>17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5"/>
      <c r="O2" s="29"/>
    </row>
    <row r="3" spans="2:15" ht="15.75" x14ac:dyDescent="0.25">
      <c r="B3" s="7" t="s">
        <v>13</v>
      </c>
      <c r="C3" s="12" t="s">
        <v>24</v>
      </c>
      <c r="D3" s="12" t="s">
        <v>25</v>
      </c>
      <c r="E3" s="12" t="s">
        <v>26</v>
      </c>
      <c r="F3" s="12" t="s">
        <v>27</v>
      </c>
      <c r="G3" s="28" t="s">
        <v>28</v>
      </c>
      <c r="H3" s="28" t="s">
        <v>29</v>
      </c>
      <c r="I3" s="28" t="s">
        <v>30</v>
      </c>
      <c r="J3" s="28" t="s">
        <v>31</v>
      </c>
      <c r="K3" s="28" t="s">
        <v>32</v>
      </c>
      <c r="L3" s="28" t="s">
        <v>33</v>
      </c>
      <c r="M3" s="28" t="s">
        <v>34</v>
      </c>
      <c r="N3" s="28" t="s">
        <v>36</v>
      </c>
    </row>
    <row r="4" spans="2:15" ht="15.75" x14ac:dyDescent="0.25">
      <c r="B4" s="6" t="s">
        <v>1</v>
      </c>
      <c r="C4" s="8">
        <v>1764.0000000000002</v>
      </c>
      <c r="D4" s="8">
        <v>1515.8</v>
      </c>
      <c r="E4" s="8">
        <v>1784.6000000000001</v>
      </c>
      <c r="F4" s="8">
        <v>1722.8000000000002</v>
      </c>
      <c r="G4" s="8">
        <v>1910.9</v>
      </c>
      <c r="H4" s="8">
        <v>1939.1</v>
      </c>
      <c r="I4" s="8">
        <v>2188.4</v>
      </c>
      <c r="J4" s="8">
        <v>1744.7</v>
      </c>
      <c r="K4" s="8">
        <v>1701.3</v>
      </c>
      <c r="L4" s="8">
        <v>1892.5</v>
      </c>
      <c r="M4" s="8">
        <v>1569.3999999999999</v>
      </c>
      <c r="N4" s="8">
        <v>2082.3000000000002</v>
      </c>
      <c r="O4" s="32"/>
    </row>
    <row r="5" spans="2:15" ht="15.75" x14ac:dyDescent="0.25">
      <c r="B5" s="6" t="s">
        <v>2</v>
      </c>
      <c r="C5" s="8">
        <v>888.9</v>
      </c>
      <c r="D5" s="8">
        <v>723.1</v>
      </c>
      <c r="E5" s="8">
        <v>892.1</v>
      </c>
      <c r="F5" s="8">
        <v>900.8</v>
      </c>
      <c r="G5" s="8">
        <v>967</v>
      </c>
      <c r="H5" s="8">
        <v>891.59999999999991</v>
      </c>
      <c r="I5" s="8">
        <v>959.7</v>
      </c>
      <c r="J5" s="8">
        <v>895.40000000000009</v>
      </c>
      <c r="K5" s="8">
        <v>913.09999999999991</v>
      </c>
      <c r="L5" s="8">
        <v>1010.1</v>
      </c>
      <c r="M5" s="8">
        <v>896.7</v>
      </c>
      <c r="N5" s="8">
        <v>1075.8</v>
      </c>
      <c r="O5" s="32"/>
    </row>
    <row r="6" spans="2:15" ht="15.75" x14ac:dyDescent="0.25">
      <c r="B6" s="6" t="s">
        <v>3</v>
      </c>
      <c r="C6" s="8">
        <v>1983.1</v>
      </c>
      <c r="D6" s="8">
        <v>1658.1</v>
      </c>
      <c r="E6" s="8">
        <v>1923.5</v>
      </c>
      <c r="F6" s="8">
        <v>1961.8</v>
      </c>
      <c r="G6" s="8">
        <v>2160.5</v>
      </c>
      <c r="H6" s="8">
        <v>1903</v>
      </c>
      <c r="I6" s="8">
        <v>2013.2000000000003</v>
      </c>
      <c r="J6" s="8">
        <v>1782.8</v>
      </c>
      <c r="K6" s="8">
        <v>1896.2</v>
      </c>
      <c r="L6" s="8">
        <v>2009.8000000000002</v>
      </c>
      <c r="M6" s="8">
        <v>1956.7</v>
      </c>
      <c r="N6" s="8">
        <v>2114</v>
      </c>
      <c r="O6" s="32"/>
    </row>
    <row r="7" spans="2:15" ht="15.75" x14ac:dyDescent="0.25">
      <c r="B7" s="6" t="s">
        <v>14</v>
      </c>
      <c r="C7" s="8">
        <v>3428.9</v>
      </c>
      <c r="D7" s="8">
        <v>2859.1</v>
      </c>
      <c r="E7" s="8">
        <v>3525.8999999999996</v>
      </c>
      <c r="F7" s="8">
        <v>3420.2</v>
      </c>
      <c r="G7" s="8">
        <v>3644.8</v>
      </c>
      <c r="H7" s="8">
        <v>3591.7000000000003</v>
      </c>
      <c r="I7" s="8">
        <v>3750.3000000000006</v>
      </c>
      <c r="J7" s="8">
        <v>3376.2</v>
      </c>
      <c r="K7" s="8">
        <v>3463.4</v>
      </c>
      <c r="L7" s="8">
        <v>3830.2000000000003</v>
      </c>
      <c r="M7" s="8">
        <v>3224.1</v>
      </c>
      <c r="N7" s="8">
        <v>4037</v>
      </c>
      <c r="O7" s="32"/>
    </row>
    <row r="8" spans="2:15" ht="15.75" x14ac:dyDescent="0.25">
      <c r="B8" s="6" t="s">
        <v>6</v>
      </c>
      <c r="C8" s="8">
        <v>1142.4000000000001</v>
      </c>
      <c r="D8" s="8">
        <v>988.19999999999993</v>
      </c>
      <c r="E8" s="8">
        <v>1167.3</v>
      </c>
      <c r="F8" s="8">
        <v>1009.8</v>
      </c>
      <c r="G8" s="8">
        <v>1074.3</v>
      </c>
      <c r="H8" s="8">
        <v>1110.9000000000001</v>
      </c>
      <c r="I8" s="8">
        <v>1358.0000000000002</v>
      </c>
      <c r="J8" s="8">
        <v>1128.0999999999999</v>
      </c>
      <c r="K8" s="8">
        <v>1185.3999999999999</v>
      </c>
      <c r="L8" s="8">
        <v>1431.7</v>
      </c>
      <c r="M8" s="8">
        <v>1192.5999999999999</v>
      </c>
      <c r="N8" s="8">
        <v>1413.1000000000001</v>
      </c>
      <c r="O8" s="32"/>
    </row>
    <row r="9" spans="2:15" ht="15.75" x14ac:dyDescent="0.25">
      <c r="B9" s="6" t="s">
        <v>4</v>
      </c>
      <c r="C9" s="8">
        <v>2708.3</v>
      </c>
      <c r="D9" s="8">
        <v>1547.6000000000001</v>
      </c>
      <c r="E9" s="8">
        <v>2414.7999999999997</v>
      </c>
      <c r="F9" s="8">
        <v>2393.1999999999998</v>
      </c>
      <c r="G9" s="8">
        <v>2841.2</v>
      </c>
      <c r="H9" s="8">
        <v>2817.2999999999997</v>
      </c>
      <c r="I9" s="8">
        <v>2906.3</v>
      </c>
      <c r="J9" s="8">
        <v>2533</v>
      </c>
      <c r="K9" s="8">
        <v>2607.3999999999996</v>
      </c>
      <c r="L9" s="8">
        <v>2748.2000000000003</v>
      </c>
      <c r="M9" s="8">
        <v>2483.2000000000003</v>
      </c>
      <c r="N9" s="8">
        <v>3022.8999999999996</v>
      </c>
      <c r="O9" s="32"/>
    </row>
    <row r="10" spans="2:15" ht="15.75" x14ac:dyDescent="0.25">
      <c r="B10" s="6" t="s">
        <v>5</v>
      </c>
      <c r="C10" s="8">
        <v>179.9</v>
      </c>
      <c r="D10" s="10">
        <v>0</v>
      </c>
      <c r="E10" s="10">
        <v>0</v>
      </c>
      <c r="F10" s="8">
        <v>20.6</v>
      </c>
      <c r="G10" s="8">
        <v>286.10000000000002</v>
      </c>
      <c r="H10" s="8">
        <v>346.9</v>
      </c>
      <c r="I10" s="8">
        <v>416.9</v>
      </c>
      <c r="J10" s="8">
        <v>345.6</v>
      </c>
      <c r="K10" s="8">
        <v>354.3</v>
      </c>
      <c r="L10" s="8">
        <v>383.8</v>
      </c>
      <c r="M10" s="8">
        <v>298.3</v>
      </c>
      <c r="N10" s="8">
        <v>368.8</v>
      </c>
      <c r="O10" s="32"/>
    </row>
    <row r="11" spans="2:15" x14ac:dyDescent="0.25">
      <c r="B11" s="25" t="s">
        <v>21</v>
      </c>
      <c r="C11" s="8">
        <v>20.2</v>
      </c>
      <c r="D11" s="8">
        <v>13.7</v>
      </c>
      <c r="E11" s="8">
        <v>20.3</v>
      </c>
      <c r="F11" s="8">
        <v>17.600000000000001</v>
      </c>
      <c r="G11" s="8">
        <v>20.999999999999996</v>
      </c>
      <c r="H11" s="8">
        <v>16.5</v>
      </c>
      <c r="I11" s="8">
        <v>17.100000000000001</v>
      </c>
      <c r="J11" s="8">
        <v>17.5</v>
      </c>
      <c r="K11" s="8">
        <v>18.5</v>
      </c>
      <c r="L11" s="8">
        <v>29.1</v>
      </c>
      <c r="M11" s="8">
        <v>26.200000000000003</v>
      </c>
      <c r="N11" s="8">
        <v>22.9</v>
      </c>
      <c r="O11" s="32"/>
    </row>
    <row r="12" spans="2:15" x14ac:dyDescent="0.25">
      <c r="B12" s="25" t="s">
        <v>23</v>
      </c>
      <c r="C12" s="8">
        <v>21</v>
      </c>
      <c r="D12" s="8">
        <v>21.7</v>
      </c>
      <c r="E12" s="8">
        <v>22.5</v>
      </c>
      <c r="F12" s="8">
        <v>23.3</v>
      </c>
      <c r="G12" s="8">
        <v>20.100000000000001</v>
      </c>
      <c r="H12" s="8">
        <v>16.8</v>
      </c>
      <c r="I12" s="8">
        <v>25.4</v>
      </c>
      <c r="J12" s="8">
        <v>17.899999999999999</v>
      </c>
      <c r="K12" s="8">
        <v>14.1</v>
      </c>
      <c r="L12" s="8">
        <v>24.4</v>
      </c>
      <c r="M12" s="8">
        <v>14.4</v>
      </c>
      <c r="N12" s="8">
        <v>25.5</v>
      </c>
      <c r="O12" s="32"/>
    </row>
    <row r="13" spans="2:15" x14ac:dyDescent="0.25">
      <c r="B13" s="11" t="s">
        <v>35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>
        <v>0.79999999999999993</v>
      </c>
      <c r="N13" s="8">
        <v>0</v>
      </c>
      <c r="O13" s="32"/>
    </row>
    <row r="14" spans="2:15" x14ac:dyDescent="0.25">
      <c r="B14" s="25" t="s">
        <v>22</v>
      </c>
      <c r="C14" s="8">
        <v>2333.8000000000002</v>
      </c>
      <c r="D14" s="8">
        <v>2601.5</v>
      </c>
      <c r="E14" s="8">
        <v>2187.1</v>
      </c>
      <c r="F14" s="8">
        <v>1887.87</v>
      </c>
      <c r="G14" s="8">
        <v>2563.1</v>
      </c>
      <c r="H14" s="8">
        <v>1450.3</v>
      </c>
      <c r="I14" s="8">
        <v>1490.6</v>
      </c>
      <c r="J14" s="8">
        <v>2560.1999999999998</v>
      </c>
      <c r="K14" s="8">
        <v>5700</v>
      </c>
      <c r="L14" s="8">
        <v>2780</v>
      </c>
      <c r="M14" s="8">
        <v>2650.2</v>
      </c>
      <c r="N14" s="8">
        <v>2840.4</v>
      </c>
      <c r="O14" s="32"/>
    </row>
    <row r="15" spans="2:15" ht="15.75" x14ac:dyDescent="0.25">
      <c r="B15" s="1" t="s">
        <v>7</v>
      </c>
      <c r="C15" s="9">
        <f t="shared" ref="C15:M15" si="0">SUM(C4:C14)</f>
        <v>14470.5</v>
      </c>
      <c r="D15" s="24">
        <f t="shared" si="0"/>
        <v>11928.800000000001</v>
      </c>
      <c r="E15" s="24">
        <f t="shared" si="0"/>
        <v>13938.099999999999</v>
      </c>
      <c r="F15" s="24">
        <f t="shared" si="0"/>
        <v>13357.969999999998</v>
      </c>
      <c r="G15" s="24">
        <f t="shared" si="0"/>
        <v>15489.000000000002</v>
      </c>
      <c r="H15" s="24">
        <f t="shared" si="0"/>
        <v>14084.099999999997</v>
      </c>
      <c r="I15" s="24">
        <f t="shared" si="0"/>
        <v>15125.900000000001</v>
      </c>
      <c r="J15" s="24">
        <f t="shared" si="0"/>
        <v>14401.400000000001</v>
      </c>
      <c r="K15" s="24">
        <f t="shared" si="0"/>
        <v>17853.699999999997</v>
      </c>
      <c r="L15" s="24">
        <f t="shared" si="0"/>
        <v>16139.800000000001</v>
      </c>
      <c r="M15" s="24">
        <f t="shared" si="0"/>
        <v>14312.599999999999</v>
      </c>
      <c r="N15" s="24">
        <f>SUM(N4:N14)</f>
        <v>17002.7</v>
      </c>
      <c r="O15" s="32"/>
    </row>
    <row r="16" spans="2:15" ht="15.75" x14ac:dyDescent="0.25">
      <c r="B16" s="2"/>
      <c r="C16" s="3"/>
      <c r="D16" s="4"/>
      <c r="E16" s="5"/>
      <c r="F16" s="16"/>
      <c r="G16" s="22"/>
      <c r="H16" s="22"/>
      <c r="I16" s="16"/>
      <c r="J16" s="16"/>
      <c r="K16" s="16"/>
      <c r="L16" s="16"/>
      <c r="N16" s="20"/>
    </row>
    <row r="17" spans="2:15" x14ac:dyDescent="0.25">
      <c r="B17" s="36" t="s">
        <v>20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</row>
    <row r="18" spans="2:15" x14ac:dyDescent="0.25">
      <c r="B18" s="26" t="s">
        <v>15</v>
      </c>
      <c r="C18" s="12" t="s">
        <v>24</v>
      </c>
      <c r="D18" s="12" t="s">
        <v>25</v>
      </c>
      <c r="E18" s="12" t="s">
        <v>26</v>
      </c>
      <c r="F18" s="12" t="s">
        <v>27</v>
      </c>
      <c r="G18" s="12" t="s">
        <v>28</v>
      </c>
      <c r="H18" s="28" t="s">
        <v>29</v>
      </c>
      <c r="I18" s="28" t="s">
        <v>30</v>
      </c>
      <c r="J18" s="28" t="s">
        <v>31</v>
      </c>
      <c r="K18" s="28" t="s">
        <v>32</v>
      </c>
      <c r="L18" s="28" t="s">
        <v>33</v>
      </c>
      <c r="M18" s="28" t="s">
        <v>34</v>
      </c>
      <c r="N18" s="28" t="s">
        <v>36</v>
      </c>
    </row>
    <row r="19" spans="2:15" x14ac:dyDescent="0.25">
      <c r="B19" s="18" t="s">
        <v>19</v>
      </c>
      <c r="C19" s="8">
        <v>950.19999999999993</v>
      </c>
      <c r="D19" s="8">
        <v>377.90000000000003</v>
      </c>
      <c r="E19" s="8">
        <v>571.59999999999991</v>
      </c>
      <c r="F19" s="13">
        <v>1088.7</v>
      </c>
      <c r="G19" s="13">
        <v>2398.4999999999995</v>
      </c>
      <c r="H19" s="8">
        <v>1288.8999999999999</v>
      </c>
      <c r="I19" s="8">
        <v>1004</v>
      </c>
      <c r="J19" s="30">
        <v>811.89999999999986</v>
      </c>
      <c r="K19" s="30">
        <v>865.8</v>
      </c>
      <c r="L19" s="30">
        <v>1092</v>
      </c>
      <c r="M19" s="30">
        <v>858.30000000000007</v>
      </c>
      <c r="N19" s="30">
        <v>1047.7</v>
      </c>
    </row>
    <row r="20" spans="2:15" x14ac:dyDescent="0.25">
      <c r="B20" s="18" t="s">
        <v>8</v>
      </c>
      <c r="C20" s="8">
        <v>6334.7</v>
      </c>
      <c r="D20" s="8">
        <v>5301.0999999999995</v>
      </c>
      <c r="E20" s="8">
        <v>6834.9</v>
      </c>
      <c r="F20" s="13">
        <v>6307.5999999999995</v>
      </c>
      <c r="G20" s="13">
        <v>6728.0000000000009</v>
      </c>
      <c r="H20" s="8">
        <v>7126.4</v>
      </c>
      <c r="I20" s="8">
        <v>7680.5</v>
      </c>
      <c r="J20" s="30">
        <v>6670.5</v>
      </c>
      <c r="K20" s="30">
        <v>7280.5999999999995</v>
      </c>
      <c r="L20" s="30">
        <v>7563.2</v>
      </c>
      <c r="M20" s="30">
        <v>6513.7000000000007</v>
      </c>
      <c r="N20" s="30">
        <v>7717.7000000000007</v>
      </c>
    </row>
    <row r="21" spans="2:15" x14ac:dyDescent="0.25">
      <c r="B21" s="18" t="s">
        <v>16</v>
      </c>
      <c r="C21" s="8">
        <v>4278.1000000000004</v>
      </c>
      <c r="D21" s="8">
        <v>3131.9</v>
      </c>
      <c r="E21" s="8">
        <v>3839.2</v>
      </c>
      <c r="F21" s="13">
        <v>3613.6000000000004</v>
      </c>
      <c r="G21" s="13">
        <v>3295.8999999999996</v>
      </c>
      <c r="H21" s="8">
        <v>3382.3999999999996</v>
      </c>
      <c r="I21" s="8">
        <v>4032.1</v>
      </c>
      <c r="J21" s="30">
        <v>3648.2999999999997</v>
      </c>
      <c r="K21" s="30">
        <v>3543.5</v>
      </c>
      <c r="L21" s="30">
        <v>4109.8999999999996</v>
      </c>
      <c r="M21" s="30">
        <v>3740.1</v>
      </c>
      <c r="N21" s="30">
        <v>4717</v>
      </c>
    </row>
    <row r="22" spans="2:15" x14ac:dyDescent="0.25">
      <c r="B22" s="18" t="s">
        <v>9</v>
      </c>
      <c r="C22" s="8">
        <v>399</v>
      </c>
      <c r="D22" s="8">
        <v>377.7</v>
      </c>
      <c r="E22" s="8">
        <v>351.4</v>
      </c>
      <c r="F22" s="13">
        <v>313.99999999999994</v>
      </c>
      <c r="G22" s="13">
        <v>339.09999999999997</v>
      </c>
      <c r="H22" s="8">
        <v>676.5</v>
      </c>
      <c r="I22" s="8">
        <v>697.69999999999993</v>
      </c>
      <c r="J22" s="30">
        <v>514.20000000000005</v>
      </c>
      <c r="K22" s="30">
        <v>250.59999999999997</v>
      </c>
      <c r="L22" s="30">
        <v>378.69999999999993</v>
      </c>
      <c r="M22" s="30">
        <v>365.3</v>
      </c>
      <c r="N22" s="30">
        <v>438.99999999999994</v>
      </c>
    </row>
    <row r="23" spans="2:15" x14ac:dyDescent="0.25">
      <c r="B23" s="18" t="s">
        <v>10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</row>
    <row r="24" spans="2:15" ht="15.75" customHeight="1" x14ac:dyDescent="0.25">
      <c r="B24" s="19" t="s">
        <v>11</v>
      </c>
      <c r="C24" s="8">
        <v>165.8</v>
      </c>
      <c r="D24" s="8">
        <v>130.9</v>
      </c>
      <c r="E24" s="8">
        <v>145.69999999999999</v>
      </c>
      <c r="F24" s="21">
        <v>139.5</v>
      </c>
      <c r="G24" s="13">
        <v>154.69999999999999</v>
      </c>
      <c r="H24" s="8">
        <v>140</v>
      </c>
      <c r="I24" s="21">
        <v>157.69999999999999</v>
      </c>
      <c r="J24" s="30">
        <v>139.6</v>
      </c>
      <c r="K24" s="31">
        <v>145.1</v>
      </c>
      <c r="L24" s="21">
        <v>141.1</v>
      </c>
      <c r="M24" s="21">
        <v>127.7</v>
      </c>
      <c r="N24" s="21">
        <v>166.9</v>
      </c>
    </row>
    <row r="25" spans="2:15" x14ac:dyDescent="0.25">
      <c r="B25" s="18" t="s">
        <v>12</v>
      </c>
      <c r="C25" s="8">
        <v>8.9</v>
      </c>
      <c r="D25" s="8">
        <v>7.8</v>
      </c>
      <c r="E25" s="8">
        <v>8.1999999999999993</v>
      </c>
      <c r="F25" s="13">
        <v>6.7</v>
      </c>
      <c r="G25" s="13">
        <v>9.6999999999999993</v>
      </c>
      <c r="H25" s="8">
        <v>19.600000000000001</v>
      </c>
      <c r="I25" s="8">
        <v>63.3</v>
      </c>
      <c r="J25" s="30">
        <v>56.7</v>
      </c>
      <c r="K25" s="30">
        <v>68.099999999999994</v>
      </c>
      <c r="L25" s="31">
        <v>74.900000000000006</v>
      </c>
      <c r="M25" s="21">
        <v>57.3</v>
      </c>
      <c r="N25" s="21">
        <v>74</v>
      </c>
    </row>
    <row r="26" spans="2:15" x14ac:dyDescent="0.25">
      <c r="B26" s="18" t="s">
        <v>18</v>
      </c>
      <c r="C26" s="8">
        <v>2333.8000000000002</v>
      </c>
      <c r="D26" s="8">
        <v>2601.5</v>
      </c>
      <c r="E26" s="8">
        <v>2187.1</v>
      </c>
      <c r="F26" s="13">
        <v>1887.87</v>
      </c>
      <c r="G26" s="13">
        <v>2563.1</v>
      </c>
      <c r="H26" s="8">
        <v>1450.3</v>
      </c>
      <c r="I26" s="8">
        <v>1490.6</v>
      </c>
      <c r="J26" s="30">
        <v>2560.1999999999998</v>
      </c>
      <c r="K26" s="30">
        <v>5700</v>
      </c>
      <c r="L26" s="30">
        <v>2780</v>
      </c>
      <c r="M26" s="31">
        <v>2650.2</v>
      </c>
      <c r="N26" s="21">
        <v>2840.4</v>
      </c>
    </row>
    <row r="27" spans="2:15" x14ac:dyDescent="0.25">
      <c r="B27" s="14" t="s">
        <v>0</v>
      </c>
      <c r="C27" s="23">
        <f t="shared" ref="C27:H27" si="1">SUM(C19:C26)</f>
        <v>14470.5</v>
      </c>
      <c r="D27" s="23">
        <f t="shared" si="1"/>
        <v>11928.8</v>
      </c>
      <c r="E27" s="23">
        <f t="shared" si="1"/>
        <v>13938.100000000002</v>
      </c>
      <c r="F27" s="23">
        <f t="shared" si="1"/>
        <v>13357.970000000001</v>
      </c>
      <c r="G27" s="23">
        <f t="shared" si="1"/>
        <v>15489.000000000002</v>
      </c>
      <c r="H27" s="23">
        <f t="shared" si="1"/>
        <v>14084.099999999999</v>
      </c>
      <c r="I27" s="23">
        <f t="shared" ref="I27:N27" si="2">SUM(I19:I26)</f>
        <v>15125.900000000001</v>
      </c>
      <c r="J27" s="23">
        <f t="shared" si="2"/>
        <v>14401.400000000001</v>
      </c>
      <c r="K27" s="23">
        <f t="shared" si="2"/>
        <v>17853.7</v>
      </c>
      <c r="L27" s="23">
        <f t="shared" si="2"/>
        <v>16139.800000000001</v>
      </c>
      <c r="M27" s="23">
        <f t="shared" si="2"/>
        <v>14312.599999999999</v>
      </c>
      <c r="N27" s="23">
        <f t="shared" si="2"/>
        <v>17002.7</v>
      </c>
    </row>
    <row r="28" spans="2:15" x14ac:dyDescent="0.25">
      <c r="O28" s="27"/>
    </row>
  </sheetData>
  <mergeCells count="2">
    <mergeCell ref="B2:N2"/>
    <mergeCell ref="B17:N17"/>
  </mergeCells>
  <pageMargins left="0.44" right="0.19685039370078741" top="0.31496062992125984" bottom="0.35433070866141736" header="0.51181102362204722" footer="0.19685039370078741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Waste Data &amp; Service Charg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Nipuni Prathibha</dc:creator>
  <cp:lastModifiedBy>USER</cp:lastModifiedBy>
  <cp:lastPrinted>2025-10-24T06:16:45Z</cp:lastPrinted>
  <dcterms:created xsi:type="dcterms:W3CDTF">2019-06-15T04:05:33Z</dcterms:created>
  <dcterms:modified xsi:type="dcterms:W3CDTF">2026-08-17T06:08:42Z</dcterms:modified>
</cp:coreProperties>
</file>